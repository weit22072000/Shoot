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ía" sheetId="1" state="visible" r:id="rId1"/>
    <sheet name="Plan" sheetId="2" state="visible" r:id="rId2"/>
    <sheet name="Movimientos" sheetId="3" state="visible" r:id="rId3"/>
    <sheet name="Resumen" sheetId="4" state="visible" r:id="rId4"/>
    <sheet name="Año" sheetId="5" state="visible" r:id="rId5"/>
    <sheet name="Lista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;[Red]-$#,##0;-"/>
    <numFmt numFmtId="165" formatCode="yyyy-mm-dd"/>
    <numFmt numFmtId="166" formatCode="mmmm yyyy"/>
    <numFmt numFmtId="167" formatCode="0.0%"/>
    <numFmt numFmtId="168" formatCode="dd/mm/yyyy"/>
    <numFmt numFmtId="169" formatCode="mmm yyyy"/>
    <numFmt numFmtId="170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1" pivotButton="0" quotePrefix="0" xfId="0"/>
    <xf numFmtId="164" fontId="5" fillId="3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5" fillId="3" borderId="1" pivotButton="0" quotePrefix="0" xfId="0"/>
    <xf numFmtId="0" fontId="2" fillId="0" borderId="1" applyAlignment="1" pivotButton="0" quotePrefix="0" xfId="0">
      <alignment vertical="top" wrapText="1"/>
    </xf>
    <xf numFmtId="164" fontId="4" fillId="0" borderId="1" pivotButton="0" quotePrefix="0" xfId="0"/>
    <xf numFmtId="0" fontId="3" fillId="4" borderId="1" pivotButton="0" quotePrefix="0" xfId="0"/>
    <xf numFmtId="164" fontId="3" fillId="4" borderId="1" pivotButton="0" quotePrefix="0" xfId="0"/>
    <xf numFmtId="166" fontId="5" fillId="3" borderId="1" pivotButton="0" quotePrefix="0" xfId="0"/>
    <xf numFmtId="0" fontId="3" fillId="0" borderId="1" pivotButton="0" quotePrefix="0" xfId="0"/>
    <xf numFmtId="0" fontId="4" fillId="4" borderId="1" pivotButton="0" quotePrefix="0" xfId="0"/>
    <xf numFmtId="164" fontId="3" fillId="0" borderId="1" pivotButton="0" quotePrefix="0" xfId="0"/>
    <xf numFmtId="167" fontId="4" fillId="0" borderId="1" pivotButton="0" quotePrefix="0" xfId="0"/>
    <xf numFmtId="168" fontId="5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169" fontId="2" fillId="4" borderId="1" pivotButton="0" quotePrefix="0" xfId="0"/>
    <xf numFmtId="168" fontId="5" fillId="3" borderId="1" pivotButton="0" quotePrefix="0" xfId="0"/>
    <xf numFmtId="166" fontId="3" fillId="0" borderId="1" pivotButton="0" quotePrefix="0" xfId="0"/>
    <xf numFmtId="1" fontId="4" fillId="0" borderId="1" pivotButton="0" quotePrefix="0" xfId="0"/>
    <xf numFmtId="164" fontId="7" fillId="0" borderId="1" pivotButton="0" quotePrefix="0" xfId="0"/>
    <xf numFmtId="0" fontId="7" fillId="0" borderId="1" pivotButton="0" quotePrefix="0" xfId="0"/>
    <xf numFmtId="170" fontId="3" fillId="0" borderId="1" pivotButton="0" quotePrefix="0" xfId="0"/>
    <xf numFmtId="166" fontId="7" fillId="0" borderId="1" pivotButton="0" quotePrefix="0" xfId="0"/>
    <xf numFmtId="166" fontId="4" fillId="0" borderId="1" pivotButton="0" quotePrefix="0" xfId="0"/>
  </cellXfs>
  <cellStyles count="1">
    <cellStyle name="Normal" xfId="0" builtinId="0" hidden="0"/>
  </cellStyles>
  <dxfs count="2">
    <dxf>
      <font>
        <name val="Arial"/>
        <b val="1"/>
        <color rgb="00C00000"/>
        <sz val="10"/>
      </font>
    </dxf>
    <dxf>
      <font>
        <name val="Arial"/>
        <color rgb="0000B05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Ingresos vs gastos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'Año'!D4</f>
            </strRef>
          </tx>
          <spPr>
            <a:ln>
              <a:prstDash val="solid"/>
            </a:ln>
          </spPr>
          <cat>
            <numRef>
              <f>'Año'!$A$5:$A$16</f>
            </numRef>
          </cat>
          <val>
            <numRef>
              <f>'Año'!$D$5:$D$16</f>
            </numRef>
          </val>
        </ser>
        <ser>
          <idx val="1"/>
          <order val="1"/>
          <tx>
            <strRef>
              <f>'Año'!E4</f>
            </strRef>
          </tx>
          <spPr>
            <a:ln>
              <a:prstDash val="solid"/>
            </a:ln>
          </spPr>
          <cat>
            <numRef>
              <f>'Año'!$A$5:$A$16</f>
            </numRef>
          </cat>
          <val>
            <numRef>
              <f>'Año'!$E$5:$E$16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Finanzas personales – Guía rápida</t>
        </is>
      </c>
    </row>
    <row r="3">
      <c r="A3" s="2" t="inlineStr">
        <is>
          <t>CÓMO SE USA (5 minutos a la semana)</t>
        </is>
      </c>
    </row>
    <row r="4">
      <c r="A4" s="3" t="inlineStr">
        <is>
          <t>1. Hoja Plan: revisa ingresos y gastos y anota en 'Saldo inicial' lo que ya tienes en cada bolsillo. Solo se hace una vez.</t>
        </is>
      </c>
    </row>
    <row r="5">
      <c r="A5" s="3" t="inlineStr">
        <is>
          <t>2. Hoja Movimientos: cada vez que entre plata o pagues algo, agrega UNA fila: fecha, Ingreso/Gasto, concepto, bolsillo o fuente, monto.</t>
        </is>
      </c>
    </row>
    <row r="6">
      <c r="A6" s="3" t="inlineStr">
        <is>
          <t>3. Hoja Resumen: elige el mes y mira cuánto te queda en cada bolsillo. Rojo = te pasaste.</t>
        </is>
      </c>
    </row>
    <row r="7">
      <c r="A7" s="3" t="inlineStr">
        <is>
          <t>4. Hoja Año: mira la tendencia y cuánto has acumulado.</t>
        </is>
      </c>
    </row>
    <row r="8">
      <c r="A8" s="3" t="inlineStr"/>
    </row>
    <row r="9">
      <c r="A9" s="2" t="inlineStr">
        <is>
          <t>LOS 7 BOLSILLOS</t>
        </is>
      </c>
    </row>
    <row r="10">
      <c r="A10" s="3" t="inlineStr">
        <is>
          <t>Fijos del mes · Deudas y apartamento · Mis gastos · Viajes y regalos · Emergencias y carro · Inversión sueños · Colchón personal</t>
        </is>
      </c>
    </row>
    <row r="11">
      <c r="A11" s="3" t="inlineStr">
        <is>
          <t>Crea los mismos bolsillos en tu app bancaria (Nequi, Nu, Lulo o Bancolombia) para que cada peso tenga un lugar real, no solo en el Excel.</t>
        </is>
      </c>
    </row>
    <row r="12">
      <c r="A12" s="3" t="inlineStr"/>
    </row>
    <row r="13">
      <c r="A13" s="2" t="inlineStr">
        <is>
          <t>REGLA CLAVE</t>
        </is>
      </c>
    </row>
    <row r="14">
      <c r="A14" s="3" t="inlineStr">
        <is>
          <t>Tus ingresos personales son solo dos: Club Tiburones y el salario fijo que WEIT te paga. Todo lo demás que gane WEIT se queda en el archivo de WEIT.</t>
        </is>
      </c>
    </row>
    <row r="15">
      <c r="A15" s="3" t="inlineStr">
        <is>
          <t>Cuando WEIT te transfiera el salario, anótalo aquí como Ingreso (fuente 'Salario WEIT').</t>
        </is>
      </c>
    </row>
    <row r="16">
      <c r="A16" s="3" t="inlineStr">
        <is>
          <t>Una vez al mes compara el 'Saldo acumulado' del Resumen con el saldo real de cada bolsillo. Deben coincidir.</t>
        </is>
      </c>
    </row>
    <row r="17">
      <c r="A17" s="3" t="inlineStr"/>
    </row>
    <row r="18">
      <c r="A18" s="3" t="inlineStr">
        <is>
          <t>Colores: azul sobre amarillo = lo editas tú · negro = fórmula (no tocar) · verde = viene de otra hoja.</t>
        </is>
      </c>
    </row>
    <row r="19">
      <c r="A19" s="3" t="inlineStr">
        <is>
          <t>Funciona igual en Excel y en Google Sheets (súbelo a Drive y ábrelo con Hojas de cálculo).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8" customWidth="1" min="3" max="3"/>
    <col width="18" customWidth="1" min="4" max="4"/>
    <col width="3" customWidth="1" min="5" max="5"/>
    <col width="44" customWidth="1" min="6" max="6"/>
    <col width="44" customWidth="1" min="7" max="7"/>
    <col width="24" customWidth="1" min="8" max="8"/>
    <col width="18" customWidth="1" min="9" max="9"/>
  </cols>
  <sheetData>
    <row r="1">
      <c r="A1" s="1" t="inlineStr">
        <is>
          <t>Plan mensual – Finanzas personales</t>
        </is>
      </c>
    </row>
    <row r="2">
      <c r="A2" s="4" t="inlineStr">
        <is>
          <t>Celdas azules con fondo amarillo = las que tú editas. Todo en pesos COP completos (4.200.000, no 4.200). Montos: los que diste en la conversación. WEIT solo entra por tu salario fijo; la operación de WEIT va en su propio archivo.</t>
        </is>
      </c>
    </row>
    <row r="4">
      <c r="A4" s="5" t="inlineStr">
        <is>
          <t>INGRESOS ESPERADOS (por mes)</t>
        </is>
      </c>
      <c r="B4" s="6" t="n"/>
      <c r="F4" s="5" t="inlineStr">
        <is>
          <t>BOLSILLOS (7 en total)</t>
        </is>
      </c>
      <c r="G4" s="6" t="n"/>
      <c r="H4" s="6" t="n"/>
      <c r="I4" s="6" t="n"/>
    </row>
    <row r="5">
      <c r="A5" s="7" t="inlineStr">
        <is>
          <t>Club Tiburones (casi fijo)</t>
        </is>
      </c>
      <c r="B5" s="8" t="n">
        <v>4200000</v>
      </c>
      <c r="F5" s="9" t="inlineStr">
        <is>
          <t>Bolsillo</t>
        </is>
      </c>
      <c r="G5" s="9" t="inlineStr">
        <is>
          <t>Para qué sirve</t>
        </is>
      </c>
      <c r="H5" s="9" t="inlineStr">
        <is>
          <t>Plan mensual</t>
        </is>
      </c>
      <c r="I5" s="9" t="inlineStr">
        <is>
          <t>Saldo inicial</t>
        </is>
      </c>
    </row>
    <row r="6" ht="28" customHeight="1">
      <c r="A6" s="7" t="inlineStr">
        <is>
          <t>Salario que te paga WEIT (fijo, como trabajador)</t>
        </is>
      </c>
      <c r="B6" s="8" t="n">
        <v>2710000</v>
      </c>
      <c r="F6" s="10" t="inlineStr">
        <is>
          <t>Fijos del mes</t>
        </is>
      </c>
      <c r="G6" s="11" t="inlineStr">
        <is>
          <t>Cuentas de todos los meses (seguridad social, Malta, celular, gas, seguro, salud oral, Spotify)</t>
        </is>
      </c>
      <c r="H6" s="12">
        <f>SUMIFS($D$12:$D$41,$B$12:$B$41,F6)</f>
        <v/>
      </c>
      <c r="I6" s="8" t="n">
        <v>0</v>
      </c>
    </row>
    <row r="7" ht="28" customHeight="1">
      <c r="A7" s="13" t="inlineStr">
        <is>
          <t>Total esperado</t>
        </is>
      </c>
      <c r="B7" s="14">
        <f>SUM(B5:B6)</f>
        <v/>
      </c>
      <c r="F7" s="10" t="inlineStr">
        <is>
          <t>Deudas y apartamento</t>
        </is>
      </c>
      <c r="G7" s="11" t="inlineStr">
        <is>
          <t>Cuota del apto, adecuación, deuda con mamá e Icetex</t>
        </is>
      </c>
      <c r="H7" s="12">
        <f>SUMIFS($D$12:$D$41,$B$12:$B$41,F7)</f>
        <v/>
      </c>
      <c r="I7" s="8" t="n">
        <v>0</v>
      </c>
    </row>
    <row r="8" ht="28" customHeight="1">
      <c r="A8" s="7" t="inlineStr">
        <is>
          <t>Mes en que empiezas a llevar el control</t>
        </is>
      </c>
      <c r="B8" s="15" t="n">
        <v>46296</v>
      </c>
      <c r="F8" s="10" t="inlineStr">
        <is>
          <t>Mis gastos</t>
        </is>
      </c>
      <c r="G8" s="11" t="inlineStr">
        <is>
          <t>Tu plata personal para gastar sin culpa</t>
        </is>
      </c>
      <c r="H8" s="12">
        <f>SUMIFS($D$12:$D$41,$B$12:$B$41,F8)</f>
        <v/>
      </c>
      <c r="I8" s="8" t="n">
        <v>0</v>
      </c>
    </row>
    <row r="9" ht="28" customHeight="1">
      <c r="F9" s="10" t="inlineStr">
        <is>
          <t>Viajes y regalos</t>
        </is>
      </c>
      <c r="G9" s="11" t="inlineStr">
        <is>
          <t>Viajes y cumpleaños: se acumula entre meses</t>
        </is>
      </c>
      <c r="H9" s="12">
        <f>SUMIFS($D$12:$D$41,$B$12:$B$41,F9)</f>
        <v/>
      </c>
      <c r="I9" s="8" t="n">
        <v>0</v>
      </c>
    </row>
    <row r="10" ht="28" customHeight="1">
      <c r="A10" s="5" t="inlineStr">
        <is>
          <t>GASTOS PLANEADOS (por mes)</t>
        </is>
      </c>
      <c r="B10" s="6" t="n"/>
      <c r="C10" s="6" t="n"/>
      <c r="D10" s="6" t="n"/>
      <c r="F10" s="10" t="inlineStr">
        <is>
          <t>Emergencias y carro</t>
        </is>
      </c>
      <c r="G10" s="11" t="inlineStr">
        <is>
          <t>Fondo de emergencia + imprevistos del carro</t>
        </is>
      </c>
      <c r="H10" s="12">
        <f>SUMIFS($D$12:$D$41,$B$12:$B$41,F10)</f>
        <v/>
      </c>
      <c r="I10" s="8" t="n">
        <v>0</v>
      </c>
    </row>
    <row r="11" ht="28" customHeight="1">
      <c r="A11" s="9" t="inlineStr">
        <is>
          <t>Concepto</t>
        </is>
      </c>
      <c r="B11" s="9" t="inlineStr">
        <is>
          <t>Bolsillo</t>
        </is>
      </c>
      <c r="C11" s="9" t="inlineStr">
        <is>
          <t>Lo paga…</t>
        </is>
      </c>
      <c r="D11" s="9" t="inlineStr">
        <is>
          <t>Monto mensual</t>
        </is>
      </c>
      <c r="F11" s="10" t="inlineStr">
        <is>
          <t>Inversión sueños</t>
        </is>
      </c>
      <c r="G11" s="11" t="inlineStr">
        <is>
          <t>Ahorro/inversión para tus metas</t>
        </is>
      </c>
      <c r="H11" s="12">
        <f>SUMIFS($D$12:$D$41,$B$12:$B$41,F11)</f>
        <v/>
      </c>
      <c r="I11" s="8" t="n">
        <v>0</v>
      </c>
    </row>
    <row r="12" ht="28" customHeight="1">
      <c r="A12" s="10" t="inlineStr">
        <is>
          <t>Seguridad social</t>
        </is>
      </c>
      <c r="B12" s="10" t="inlineStr">
        <is>
          <t>Fijos del mes</t>
        </is>
      </c>
      <c r="C12" s="10" t="inlineStr">
        <is>
          <t>Club Tiburones</t>
        </is>
      </c>
      <c r="D12" s="8" t="n">
        <v>400000</v>
      </c>
      <c r="F12" s="16" t="inlineStr">
        <is>
          <t>Colchón personal</t>
        </is>
      </c>
      <c r="G12" s="11" t="inlineStr">
        <is>
          <t>Lo que sobra cada mes: impuestos, imprevistos o para adelantar deudas</t>
        </is>
      </c>
      <c r="H12" s="12">
        <f>B7-SUM(H6:H11)</f>
        <v/>
      </c>
      <c r="I12" s="8" t="n">
        <v>0</v>
      </c>
    </row>
    <row r="13">
      <c r="A13" s="10" t="inlineStr">
        <is>
          <t>Seguro apto</t>
        </is>
      </c>
      <c r="B13" s="10" t="inlineStr">
        <is>
          <t>Fijos del mes</t>
        </is>
      </c>
      <c r="C13" s="10" t="inlineStr">
        <is>
          <t>Club Tiburones</t>
        </is>
      </c>
      <c r="D13" s="8" t="n">
        <v>46000</v>
      </c>
      <c r="F13" s="13" t="inlineStr">
        <is>
          <t>Total</t>
        </is>
      </c>
      <c r="G13" s="17" t="n"/>
      <c r="H13" s="14">
        <f>SUM(H6:H12)</f>
        <v/>
      </c>
      <c r="I13" s="14">
        <f>SUM(I6:I12)</f>
        <v/>
      </c>
    </row>
    <row r="14">
      <c r="A14" s="10" t="inlineStr">
        <is>
          <t>Spotify</t>
        </is>
      </c>
      <c r="B14" s="10" t="inlineStr">
        <is>
          <t>Fijos del mes</t>
        </is>
      </c>
      <c r="C14" s="10" t="inlineStr">
        <is>
          <t>Club Tiburones</t>
        </is>
      </c>
      <c r="D14" s="8" t="n">
        <v>24000</v>
      </c>
      <c r="F14" s="4" t="inlineStr">
        <is>
          <t>Saldo inicial = lo que ya tienes guardado hoy en cada bolsillo. El último bolsillo se calcula solo: ingresos − los otros 6.</t>
        </is>
      </c>
    </row>
    <row r="15">
      <c r="A15" s="10" t="inlineStr">
        <is>
          <t>Celular</t>
        </is>
      </c>
      <c r="B15" s="10" t="inlineStr">
        <is>
          <t>Fijos del mes</t>
        </is>
      </c>
      <c r="C15" s="10" t="inlineStr">
        <is>
          <t>Club Tiburones</t>
        </is>
      </c>
      <c r="D15" s="8" t="n">
        <v>40000</v>
      </c>
    </row>
    <row r="16">
      <c r="A16" s="10" t="inlineStr">
        <is>
          <t>Gas</t>
        </is>
      </c>
      <c r="B16" s="10" t="inlineStr">
        <is>
          <t>Fijos del mes</t>
        </is>
      </c>
      <c r="C16" s="10" t="inlineStr">
        <is>
          <t>Club Tiburones</t>
        </is>
      </c>
      <c r="D16" s="8" t="n">
        <v>20000</v>
      </c>
      <c r="F16" s="5" t="inlineStr">
        <is>
          <t>CUADRE POR FUENTE DE INGRESO</t>
        </is>
      </c>
      <c r="G16" s="6" t="n"/>
      <c r="H16" s="6" t="n"/>
      <c r="I16" s="6" t="n"/>
    </row>
    <row r="17">
      <c r="A17" s="10" t="inlineStr">
        <is>
          <t>Servicios Malta</t>
        </is>
      </c>
      <c r="B17" s="10" t="inlineStr">
        <is>
          <t>Fijos del mes</t>
        </is>
      </c>
      <c r="C17" s="10" t="inlineStr">
        <is>
          <t>Club Tiburones</t>
        </is>
      </c>
      <c r="D17" s="8" t="n">
        <v>160000</v>
      </c>
      <c r="F17" s="9" t="inlineStr">
        <is>
          <t>Fuente</t>
        </is>
      </c>
      <c r="G17" s="9" t="inlineStr">
        <is>
          <t>Ingreso esperado</t>
        </is>
      </c>
      <c r="H17" s="9" t="inlineStr">
        <is>
          <t>Gastos que paga</t>
        </is>
      </c>
      <c r="I17" s="9" t="inlineStr">
        <is>
          <t>Sobra / (falta)</t>
        </is>
      </c>
    </row>
    <row r="18">
      <c r="A18" s="10" t="inlineStr">
        <is>
          <t>Administración Malta</t>
        </is>
      </c>
      <c r="B18" s="10" t="inlineStr">
        <is>
          <t>Fijos del mes</t>
        </is>
      </c>
      <c r="C18" s="10" t="inlineStr">
        <is>
          <t>Club Tiburones</t>
        </is>
      </c>
      <c r="D18" s="8" t="n">
        <v>210000</v>
      </c>
      <c r="F18" s="7" t="inlineStr">
        <is>
          <t>Club Tiburones</t>
        </is>
      </c>
      <c r="G18" s="12">
        <f>B5</f>
        <v/>
      </c>
      <c r="H18" s="12">
        <f>SUMIFS($D$12:$D$41,$C$12:$C$41,F18)</f>
        <v/>
      </c>
      <c r="I18" s="18">
        <f>G18-H18</f>
        <v/>
      </c>
    </row>
    <row r="19">
      <c r="A19" s="10" t="inlineStr">
        <is>
          <t>Salud oral</t>
        </is>
      </c>
      <c r="B19" s="10" t="inlineStr">
        <is>
          <t>Fijos del mes</t>
        </is>
      </c>
      <c r="C19" s="10" t="inlineStr">
        <is>
          <t>Club Tiburones</t>
        </is>
      </c>
      <c r="D19" s="8" t="n">
        <v>80000</v>
      </c>
      <c r="F19" s="7" t="inlineStr">
        <is>
          <t>Salario WEIT</t>
        </is>
      </c>
      <c r="G19" s="12">
        <f>B6</f>
        <v/>
      </c>
      <c r="H19" s="12">
        <f>SUMIFS($D$12:$D$41,$C$12:$C$41,F19)</f>
        <v/>
      </c>
      <c r="I19" s="18">
        <f>G19-H19</f>
        <v/>
      </c>
    </row>
    <row r="20">
      <c r="A20" s="10" t="inlineStr">
        <is>
          <t>Cuota apto (deuda)</t>
        </is>
      </c>
      <c r="B20" s="10" t="inlineStr">
        <is>
          <t>Deudas y apartamento</t>
        </is>
      </c>
      <c r="C20" s="10" t="inlineStr">
        <is>
          <t>Salario WEIT</t>
        </is>
      </c>
      <c r="D20" s="8" t="n">
        <v>2110000</v>
      </c>
      <c r="F20" s="13" t="inlineStr">
        <is>
          <t>Total</t>
        </is>
      </c>
      <c r="G20" s="14">
        <f>SUM(G18:G19)</f>
        <v/>
      </c>
      <c r="H20" s="14">
        <f>SUM(H18:H19)</f>
        <v/>
      </c>
      <c r="I20" s="14">
        <f>SUM(I18:I19)</f>
        <v/>
      </c>
    </row>
    <row r="21">
      <c r="A21" s="10" t="inlineStr">
        <is>
          <t>Adecuación apartamento</t>
        </is>
      </c>
      <c r="B21" s="10" t="inlineStr">
        <is>
          <t>Deudas y apartamento</t>
        </is>
      </c>
      <c r="C21" s="10" t="inlineStr">
        <is>
          <t>Salario WEIT</t>
        </is>
      </c>
      <c r="D21" s="8" t="n">
        <v>600000</v>
      </c>
      <c r="F21" s="4" t="inlineStr">
        <is>
          <t>El salario de WEIT cubre el apartamento; Tiburones cubre el resto y lo que sobra va al Colchón.</t>
        </is>
      </c>
    </row>
    <row r="22">
      <c r="A22" s="10" t="inlineStr">
        <is>
          <t>Cuota apto deuda mamá</t>
        </is>
      </c>
      <c r="B22" s="10" t="inlineStr">
        <is>
          <t>Deudas y apartamento</t>
        </is>
      </c>
      <c r="C22" s="10" t="inlineStr">
        <is>
          <t>Club Tiburones</t>
        </is>
      </c>
      <c r="D22" s="8" t="n">
        <v>500000</v>
      </c>
    </row>
    <row r="23">
      <c r="A23" s="10" t="inlineStr">
        <is>
          <t>Icetex</t>
        </is>
      </c>
      <c r="B23" s="10" t="inlineStr">
        <is>
          <t>Deudas y apartamento</t>
        </is>
      </c>
      <c r="C23" s="10" t="inlineStr">
        <is>
          <t>Club Tiburones</t>
        </is>
      </c>
      <c r="D23" s="8" t="n">
        <v>250000</v>
      </c>
      <c r="F23" s="5" t="inlineStr">
        <is>
          <t>INDICADORES</t>
        </is>
      </c>
      <c r="G23" s="6" t="n"/>
      <c r="H23" s="6" t="n"/>
      <c r="I23" s="6" t="n"/>
    </row>
    <row r="24">
      <c r="A24" s="10" t="inlineStr">
        <is>
          <t>Mis gastos personales</t>
        </is>
      </c>
      <c r="B24" s="10" t="inlineStr">
        <is>
          <t>Mis gastos</t>
        </is>
      </c>
      <c r="C24" s="10" t="inlineStr">
        <is>
          <t>Club Tiburones</t>
        </is>
      </c>
      <c r="D24" s="8" t="n">
        <v>600000</v>
      </c>
      <c r="F24" s="7" t="inlineStr">
        <is>
          <t>Deudas y apartamento / ingreso</t>
        </is>
      </c>
      <c r="G24" s="19">
        <f>IF(B7=0,0,H7/B7)</f>
        <v/>
      </c>
      <c r="H24" s="4" t="inlineStr">
        <is>
          <t>Sana: menos de 35%</t>
        </is>
      </c>
    </row>
    <row r="25">
      <c r="A25" s="10" t="inlineStr">
        <is>
          <t>Viajes</t>
        </is>
      </c>
      <c r="B25" s="10" t="inlineStr">
        <is>
          <t>Viajes y regalos</t>
        </is>
      </c>
      <c r="C25" s="10" t="inlineStr">
        <is>
          <t>Club Tiburones</t>
        </is>
      </c>
      <c r="D25" s="8" t="n">
        <v>200000</v>
      </c>
      <c r="F25" s="7" t="inlineStr">
        <is>
          <t>Ahorro (emergencias + sueños + colchón) / ingreso</t>
        </is>
      </c>
      <c r="G25" s="19">
        <f>IF(B7=0,0,(H10+H11+H12)/B7)</f>
        <v/>
      </c>
      <c r="H25" s="4" t="inlineStr">
        <is>
          <t>Meta: 15–20%</t>
        </is>
      </c>
    </row>
    <row r="26">
      <c r="A26" s="10" t="inlineStr">
        <is>
          <t>Cumpleaños familia y allegados</t>
        </is>
      </c>
      <c r="B26" s="10" t="inlineStr">
        <is>
          <t>Viajes y regalos</t>
        </is>
      </c>
      <c r="C26" s="10" t="inlineStr">
        <is>
          <t>Club Tiburones</t>
        </is>
      </c>
      <c r="D26" s="8" t="n">
        <v>350000</v>
      </c>
      <c r="F26" s="7" t="inlineStr">
        <is>
          <t>Meta fondo de emergencia (6 meses de gastos)</t>
        </is>
      </c>
      <c r="G26" s="12">
        <f>6*SUM(H6:H11)</f>
        <v/>
      </c>
      <c r="H26" s="4" t="inlineStr">
        <is>
          <t>Meta a largo plazo</t>
        </is>
      </c>
    </row>
    <row r="27">
      <c r="A27" s="10" t="inlineStr">
        <is>
          <t>Imprevistos carro</t>
        </is>
      </c>
      <c r="B27" s="10" t="inlineStr">
        <is>
          <t>Emergencias y carro</t>
        </is>
      </c>
      <c r="C27" s="10" t="inlineStr">
        <is>
          <t>Club Tiburones</t>
        </is>
      </c>
      <c r="D27" s="8" t="n">
        <v>200000</v>
      </c>
    </row>
    <row r="28">
      <c r="A28" s="10" t="inlineStr">
        <is>
          <t>Fondo de emergencia</t>
        </is>
      </c>
      <c r="B28" s="10" t="inlineStr">
        <is>
          <t>Emergencias y carro</t>
        </is>
      </c>
      <c r="C28" s="10" t="inlineStr">
        <is>
          <t>Club Tiburones</t>
        </is>
      </c>
      <c r="D28" s="8" t="n">
        <v>200000</v>
      </c>
    </row>
    <row r="29">
      <c r="A29" s="10" t="inlineStr">
        <is>
          <t>Inversión sueños</t>
        </is>
      </c>
      <c r="B29" s="10" t="inlineStr">
        <is>
          <t>Inversión sueños</t>
        </is>
      </c>
      <c r="C29" s="10" t="inlineStr">
        <is>
          <t>Club Tiburones</t>
        </is>
      </c>
      <c r="D29" s="8" t="n">
        <v>200000</v>
      </c>
    </row>
    <row r="30">
      <c r="A30" s="10" t="n"/>
      <c r="B30" s="10" t="n"/>
      <c r="C30" s="10" t="n"/>
      <c r="D30" s="8" t="n"/>
    </row>
    <row r="31">
      <c r="A31" s="10" t="n"/>
      <c r="B31" s="10" t="n"/>
      <c r="C31" s="10" t="n"/>
      <c r="D31" s="8" t="n"/>
    </row>
    <row r="32">
      <c r="A32" s="10" t="n"/>
      <c r="B32" s="10" t="n"/>
      <c r="C32" s="10" t="n"/>
      <c r="D32" s="8" t="n"/>
    </row>
    <row r="33">
      <c r="A33" s="10" t="n"/>
      <c r="B33" s="10" t="n"/>
      <c r="C33" s="10" t="n"/>
      <c r="D33" s="8" t="n"/>
    </row>
    <row r="34">
      <c r="A34" s="10" t="n"/>
      <c r="B34" s="10" t="n"/>
      <c r="C34" s="10" t="n"/>
      <c r="D34" s="8" t="n"/>
    </row>
    <row r="35">
      <c r="A35" s="10" t="n"/>
      <c r="B35" s="10" t="n"/>
      <c r="C35" s="10" t="n"/>
      <c r="D35" s="8" t="n"/>
    </row>
    <row r="36">
      <c r="A36" s="10" t="n"/>
      <c r="B36" s="10" t="n"/>
      <c r="C36" s="10" t="n"/>
      <c r="D36" s="8" t="n"/>
    </row>
    <row r="37">
      <c r="A37" s="10" t="n"/>
      <c r="B37" s="10" t="n"/>
      <c r="C37" s="10" t="n"/>
      <c r="D37" s="8" t="n"/>
    </row>
    <row r="38">
      <c r="A38" s="10" t="n"/>
      <c r="B38" s="10" t="n"/>
      <c r="C38" s="10" t="n"/>
      <c r="D38" s="8" t="n"/>
    </row>
    <row r="39">
      <c r="A39" s="10" t="n"/>
      <c r="B39" s="10" t="n"/>
      <c r="C39" s="10" t="n"/>
      <c r="D39" s="8" t="n"/>
    </row>
    <row r="40">
      <c r="A40" s="10" t="n"/>
      <c r="B40" s="10" t="n"/>
      <c r="C40" s="10" t="n"/>
      <c r="D40" s="8" t="n"/>
    </row>
    <row r="41">
      <c r="A41" s="10" t="n"/>
      <c r="B41" s="10" t="n"/>
      <c r="C41" s="10" t="n"/>
      <c r="D41" s="8" t="n"/>
    </row>
    <row r="42">
      <c r="A42" s="13" t="inlineStr">
        <is>
          <t>Total gastos planeados</t>
        </is>
      </c>
      <c r="B42" s="17" t="n"/>
      <c r="C42" s="17" t="n"/>
      <c r="D42" s="14">
        <f>SUM(D12:D41)</f>
        <v/>
      </c>
    </row>
    <row r="43">
      <c r="A43" s="4" t="inlineStr">
        <is>
          <t>Hay filas libres hasta la 41 para agregar gastos nuevos: elige su bolsillo en la lista.</t>
        </is>
      </c>
    </row>
  </sheetData>
  <dataValidations count="2">
    <dataValidation sqref="B12:B41" showDropDown="0" showInputMessage="0" showErrorMessage="0" allowBlank="1" type="list">
      <formula1>=$F$6:$F$12</formula1>
    </dataValidation>
    <dataValidation sqref="C12:C41" showDropDown="0" showInputMessage="0" showErrorMessage="0" allowBlank="1" type="list">
      <formula1>"Club Tiburones,Salario WEIT"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38" customWidth="1" min="3" max="3"/>
    <col width="26" customWidth="1" min="4" max="4"/>
    <col width="16" customWidth="1" min="5" max="5"/>
    <col width="14" customWidth="1" min="6" max="6"/>
  </cols>
  <sheetData>
    <row r="1">
      <c r="A1" s="1" t="inlineStr">
        <is>
          <t>Movimientos: aquí solo anotas lo que entra y lo que sale</t>
        </is>
      </c>
    </row>
    <row r="2">
      <c r="A2" s="4" t="inlineStr">
        <is>
          <t>1) Fecha  2) Ingreso o Gasto  3) Concepto  4) Bolsillo (si es gasto) o Fuente (si es ingreso)  5) Monto. La columna Mes se llena sola.</t>
        </is>
      </c>
    </row>
    <row r="3">
      <c r="A3" s="4" t="inlineStr">
        <is>
          <t>Las filas de ejemplo (dicen 'ejemplo') son solo para mostrar el formato: bórralas cuando empieces.</t>
        </is>
      </c>
    </row>
    <row r="5">
      <c r="A5" s="9" t="inlineStr">
        <is>
          <t>Fecha</t>
        </is>
      </c>
      <c r="B5" s="9" t="inlineStr">
        <is>
          <t>Tipo</t>
        </is>
      </c>
      <c r="C5" s="9" t="inlineStr">
        <is>
          <t>Concepto</t>
        </is>
      </c>
      <c r="D5" s="9" t="inlineStr">
        <is>
          <t>Bolsillo o Fuente</t>
        </is>
      </c>
      <c r="E5" s="9" t="inlineStr">
        <is>
          <t>Monto</t>
        </is>
      </c>
      <c r="F5" s="9" t="inlineStr">
        <is>
          <t>Mes (auto)</t>
        </is>
      </c>
    </row>
    <row r="6">
      <c r="A6" s="20" t="n">
        <v>46296</v>
      </c>
      <c r="B6" s="21" t="inlineStr">
        <is>
          <t>Ingreso</t>
        </is>
      </c>
      <c r="C6" s="21" t="inlineStr">
        <is>
          <t>Pago mensual (ejemplo)</t>
        </is>
      </c>
      <c r="D6" s="21" t="inlineStr">
        <is>
          <t>Club Tiburones</t>
        </is>
      </c>
      <c r="E6" s="22" t="n">
        <v>4200000</v>
      </c>
      <c r="F6" s="23">
        <f>IF(A6="","",DATE(YEAR(A6),MONTH(A6),1))</f>
        <v/>
      </c>
    </row>
    <row r="7">
      <c r="A7" s="20" t="n">
        <v>46296</v>
      </c>
      <c r="B7" s="21" t="inlineStr">
        <is>
          <t>Ingreso</t>
        </is>
      </c>
      <c r="C7" s="21" t="inlineStr">
        <is>
          <t>Salario WEIT (ejemplo)</t>
        </is>
      </c>
      <c r="D7" s="21" t="inlineStr">
        <is>
          <t>Salario WEIT</t>
        </is>
      </c>
      <c r="E7" s="22" t="n">
        <v>2710000</v>
      </c>
      <c r="F7" s="23">
        <f>IF(A7="","",DATE(YEAR(A7),MONTH(A7),1))</f>
        <v/>
      </c>
    </row>
    <row r="8">
      <c r="A8" s="20" t="n">
        <v>46298</v>
      </c>
      <c r="B8" s="21" t="inlineStr">
        <is>
          <t>Gasto</t>
        </is>
      </c>
      <c r="C8" s="21" t="inlineStr">
        <is>
          <t>Spotify (ejemplo)</t>
        </is>
      </c>
      <c r="D8" s="21" t="inlineStr">
        <is>
          <t>Fijos del mes</t>
        </is>
      </c>
      <c r="E8" s="22" t="n">
        <v>24000</v>
      </c>
      <c r="F8" s="23">
        <f>IF(A8="","",DATE(YEAR(A8),MONTH(A8),1))</f>
        <v/>
      </c>
    </row>
    <row r="9">
      <c r="A9" s="20" t="n">
        <v>46300</v>
      </c>
      <c r="B9" s="21" t="inlineStr">
        <is>
          <t>Gasto</t>
        </is>
      </c>
      <c r="C9" s="21" t="inlineStr">
        <is>
          <t>Almuerzo con amigos (ejemplo)</t>
        </is>
      </c>
      <c r="D9" s="21" t="inlineStr">
        <is>
          <t>Mis gastos</t>
        </is>
      </c>
      <c r="E9" s="22" t="n">
        <v>65000</v>
      </c>
      <c r="F9" s="23">
        <f>IF(A9="","",DATE(YEAR(A9),MONTH(A9),1))</f>
        <v/>
      </c>
    </row>
    <row r="10">
      <c r="A10" s="20" t="n"/>
      <c r="B10" s="21" t="n"/>
      <c r="C10" s="21" t="n"/>
      <c r="D10" s="21" t="n"/>
      <c r="E10" s="22" t="n"/>
      <c r="F10" s="23">
        <f>IF(A10="","",DATE(YEAR(A10),MONTH(A10),1))</f>
        <v/>
      </c>
    </row>
    <row r="11">
      <c r="A11" s="20" t="n"/>
      <c r="B11" s="21" t="n"/>
      <c r="C11" s="21" t="n"/>
      <c r="D11" s="21" t="n"/>
      <c r="E11" s="22" t="n"/>
      <c r="F11" s="23">
        <f>IF(A11="","",DATE(YEAR(A11),MONTH(A11),1))</f>
        <v/>
      </c>
    </row>
    <row r="12">
      <c r="A12" s="20" t="n"/>
      <c r="B12" s="21" t="n"/>
      <c r="C12" s="21" t="n"/>
      <c r="D12" s="21" t="n"/>
      <c r="E12" s="22" t="n"/>
      <c r="F12" s="23">
        <f>IF(A12="","",DATE(YEAR(A12),MONTH(A12),1))</f>
        <v/>
      </c>
    </row>
    <row r="13">
      <c r="A13" s="20" t="n"/>
      <c r="B13" s="21" t="n"/>
      <c r="C13" s="21" t="n"/>
      <c r="D13" s="21" t="n"/>
      <c r="E13" s="22" t="n"/>
      <c r="F13" s="23">
        <f>IF(A13="","",DATE(YEAR(A13),MONTH(A13),1))</f>
        <v/>
      </c>
    </row>
    <row r="14">
      <c r="A14" s="20" t="n"/>
      <c r="B14" s="21" t="n"/>
      <c r="C14" s="21" t="n"/>
      <c r="D14" s="21" t="n"/>
      <c r="E14" s="22" t="n"/>
      <c r="F14" s="23">
        <f>IF(A14="","",DATE(YEAR(A14),MONTH(A14),1))</f>
        <v/>
      </c>
    </row>
    <row r="15">
      <c r="A15" s="20" t="n"/>
      <c r="B15" s="21" t="n"/>
      <c r="C15" s="21" t="n"/>
      <c r="D15" s="21" t="n"/>
      <c r="E15" s="22" t="n"/>
      <c r="F15" s="23">
        <f>IF(A15="","",DATE(YEAR(A15),MONTH(A15),1))</f>
        <v/>
      </c>
    </row>
    <row r="16">
      <c r="A16" s="20" t="n"/>
      <c r="B16" s="21" t="n"/>
      <c r="C16" s="21" t="n"/>
      <c r="D16" s="21" t="n"/>
      <c r="E16" s="22" t="n"/>
      <c r="F16" s="23">
        <f>IF(A16="","",DATE(YEAR(A16),MONTH(A16),1))</f>
        <v/>
      </c>
    </row>
    <row r="17">
      <c r="A17" s="20" t="n"/>
      <c r="B17" s="21" t="n"/>
      <c r="C17" s="21" t="n"/>
      <c r="D17" s="21" t="n"/>
      <c r="E17" s="22" t="n"/>
      <c r="F17" s="23">
        <f>IF(A17="","",DATE(YEAR(A17),MONTH(A17),1))</f>
        <v/>
      </c>
    </row>
    <row r="18">
      <c r="A18" s="20" t="n"/>
      <c r="B18" s="21" t="n"/>
      <c r="C18" s="21" t="n"/>
      <c r="D18" s="21" t="n"/>
      <c r="E18" s="22" t="n"/>
      <c r="F18" s="23">
        <f>IF(A18="","",DATE(YEAR(A18),MONTH(A18),1))</f>
        <v/>
      </c>
    </row>
    <row r="19">
      <c r="A19" s="20" t="n"/>
      <c r="B19" s="21" t="n"/>
      <c r="C19" s="21" t="n"/>
      <c r="D19" s="21" t="n"/>
      <c r="E19" s="22" t="n"/>
      <c r="F19" s="23">
        <f>IF(A19="","",DATE(YEAR(A19),MONTH(A19),1))</f>
        <v/>
      </c>
    </row>
    <row r="20">
      <c r="A20" s="20" t="n"/>
      <c r="B20" s="21" t="n"/>
      <c r="C20" s="21" t="n"/>
      <c r="D20" s="21" t="n"/>
      <c r="E20" s="22" t="n"/>
      <c r="F20" s="23">
        <f>IF(A20="","",DATE(YEAR(A20),MONTH(A20),1))</f>
        <v/>
      </c>
    </row>
    <row r="21">
      <c r="A21" s="20" t="n"/>
      <c r="B21" s="21" t="n"/>
      <c r="C21" s="21" t="n"/>
      <c r="D21" s="21" t="n"/>
      <c r="E21" s="22" t="n"/>
      <c r="F21" s="23">
        <f>IF(A21="","",DATE(YEAR(A21),MONTH(A21),1))</f>
        <v/>
      </c>
    </row>
    <row r="22">
      <c r="A22" s="20" t="n"/>
      <c r="B22" s="21" t="n"/>
      <c r="C22" s="21" t="n"/>
      <c r="D22" s="21" t="n"/>
      <c r="E22" s="22" t="n"/>
      <c r="F22" s="23">
        <f>IF(A22="","",DATE(YEAR(A22),MONTH(A22),1))</f>
        <v/>
      </c>
    </row>
    <row r="23">
      <c r="A23" s="20" t="n"/>
      <c r="B23" s="21" t="n"/>
      <c r="C23" s="21" t="n"/>
      <c r="D23" s="21" t="n"/>
      <c r="E23" s="22" t="n"/>
      <c r="F23" s="23">
        <f>IF(A23="","",DATE(YEAR(A23),MONTH(A23),1))</f>
        <v/>
      </c>
    </row>
    <row r="24">
      <c r="A24" s="20" t="n"/>
      <c r="B24" s="21" t="n"/>
      <c r="C24" s="21" t="n"/>
      <c r="D24" s="21" t="n"/>
      <c r="E24" s="22" t="n"/>
      <c r="F24" s="23">
        <f>IF(A24="","",DATE(YEAR(A24),MONTH(A24),1))</f>
        <v/>
      </c>
    </row>
    <row r="25">
      <c r="A25" s="20" t="n"/>
      <c r="B25" s="21" t="n"/>
      <c r="C25" s="21" t="n"/>
      <c r="D25" s="21" t="n"/>
      <c r="E25" s="22" t="n"/>
      <c r="F25" s="23">
        <f>IF(A25="","",DATE(YEAR(A25),MONTH(A25),1))</f>
        <v/>
      </c>
    </row>
    <row r="26">
      <c r="A26" s="20" t="n"/>
      <c r="B26" s="21" t="n"/>
      <c r="C26" s="21" t="n"/>
      <c r="D26" s="21" t="n"/>
      <c r="E26" s="22" t="n"/>
      <c r="F26" s="23">
        <f>IF(A26="","",DATE(YEAR(A26),MONTH(A26),1))</f>
        <v/>
      </c>
    </row>
    <row r="27">
      <c r="A27" s="20" t="n"/>
      <c r="B27" s="21" t="n"/>
      <c r="C27" s="21" t="n"/>
      <c r="D27" s="21" t="n"/>
      <c r="E27" s="22" t="n"/>
      <c r="F27" s="23">
        <f>IF(A27="","",DATE(YEAR(A27),MONTH(A27),1))</f>
        <v/>
      </c>
    </row>
    <row r="28">
      <c r="A28" s="20" t="n"/>
      <c r="B28" s="21" t="n"/>
      <c r="C28" s="21" t="n"/>
      <c r="D28" s="21" t="n"/>
      <c r="E28" s="22" t="n"/>
      <c r="F28" s="23">
        <f>IF(A28="","",DATE(YEAR(A28),MONTH(A28),1))</f>
        <v/>
      </c>
    </row>
    <row r="29">
      <c r="A29" s="20" t="n"/>
      <c r="B29" s="21" t="n"/>
      <c r="C29" s="21" t="n"/>
      <c r="D29" s="21" t="n"/>
      <c r="E29" s="22" t="n"/>
      <c r="F29" s="23">
        <f>IF(A29="","",DATE(YEAR(A29),MONTH(A29),1))</f>
        <v/>
      </c>
    </row>
    <row r="30">
      <c r="A30" s="20" t="n"/>
      <c r="B30" s="21" t="n"/>
      <c r="C30" s="21" t="n"/>
      <c r="D30" s="21" t="n"/>
      <c r="E30" s="22" t="n"/>
      <c r="F30" s="23">
        <f>IF(A30="","",DATE(YEAR(A30),MONTH(A30),1))</f>
        <v/>
      </c>
    </row>
    <row r="31">
      <c r="A31" s="20" t="n"/>
      <c r="B31" s="21" t="n"/>
      <c r="C31" s="21" t="n"/>
      <c r="D31" s="21" t="n"/>
      <c r="E31" s="22" t="n"/>
      <c r="F31" s="23">
        <f>IF(A31="","",DATE(YEAR(A31),MONTH(A31),1))</f>
        <v/>
      </c>
    </row>
    <row r="32">
      <c r="A32" s="20" t="n"/>
      <c r="B32" s="21" t="n"/>
      <c r="C32" s="21" t="n"/>
      <c r="D32" s="21" t="n"/>
      <c r="E32" s="22" t="n"/>
      <c r="F32" s="23">
        <f>IF(A32="","",DATE(YEAR(A32),MONTH(A32),1))</f>
        <v/>
      </c>
    </row>
    <row r="33">
      <c r="A33" s="20" t="n"/>
      <c r="B33" s="21" t="n"/>
      <c r="C33" s="21" t="n"/>
      <c r="D33" s="21" t="n"/>
      <c r="E33" s="22" t="n"/>
      <c r="F33" s="23">
        <f>IF(A33="","",DATE(YEAR(A33),MONTH(A33),1))</f>
        <v/>
      </c>
    </row>
    <row r="34">
      <c r="A34" s="20" t="n"/>
      <c r="B34" s="21" t="n"/>
      <c r="C34" s="21" t="n"/>
      <c r="D34" s="21" t="n"/>
      <c r="E34" s="22" t="n"/>
      <c r="F34" s="23">
        <f>IF(A34="","",DATE(YEAR(A34),MONTH(A34),1))</f>
        <v/>
      </c>
    </row>
    <row r="35">
      <c r="A35" s="20" t="n"/>
      <c r="B35" s="21" t="n"/>
      <c r="C35" s="21" t="n"/>
      <c r="D35" s="21" t="n"/>
      <c r="E35" s="22" t="n"/>
      <c r="F35" s="23">
        <f>IF(A35="","",DATE(YEAR(A35),MONTH(A35),1))</f>
        <v/>
      </c>
    </row>
    <row r="36">
      <c r="A36" s="20" t="n"/>
      <c r="B36" s="21" t="n"/>
      <c r="C36" s="21" t="n"/>
      <c r="D36" s="21" t="n"/>
      <c r="E36" s="22" t="n"/>
      <c r="F36" s="23">
        <f>IF(A36="","",DATE(YEAR(A36),MONTH(A36),1))</f>
        <v/>
      </c>
    </row>
    <row r="37">
      <c r="A37" s="20" t="n"/>
      <c r="B37" s="21" t="n"/>
      <c r="C37" s="21" t="n"/>
      <c r="D37" s="21" t="n"/>
      <c r="E37" s="22" t="n"/>
      <c r="F37" s="23">
        <f>IF(A37="","",DATE(YEAR(A37),MONTH(A37),1))</f>
        <v/>
      </c>
    </row>
    <row r="38">
      <c r="A38" s="20" t="n"/>
      <c r="B38" s="21" t="n"/>
      <c r="C38" s="21" t="n"/>
      <c r="D38" s="21" t="n"/>
      <c r="E38" s="22" t="n"/>
      <c r="F38" s="23">
        <f>IF(A38="","",DATE(YEAR(A38),MONTH(A38),1))</f>
        <v/>
      </c>
    </row>
    <row r="39">
      <c r="A39" s="20" t="n"/>
      <c r="B39" s="21" t="n"/>
      <c r="C39" s="21" t="n"/>
      <c r="D39" s="21" t="n"/>
      <c r="E39" s="22" t="n"/>
      <c r="F39" s="23">
        <f>IF(A39="","",DATE(YEAR(A39),MONTH(A39),1))</f>
        <v/>
      </c>
    </row>
    <row r="40">
      <c r="A40" s="20" t="n"/>
      <c r="B40" s="21" t="n"/>
      <c r="C40" s="21" t="n"/>
      <c r="D40" s="21" t="n"/>
      <c r="E40" s="22" t="n"/>
      <c r="F40" s="23">
        <f>IF(A40="","",DATE(YEAR(A40),MONTH(A40),1))</f>
        <v/>
      </c>
    </row>
    <row r="41">
      <c r="A41" s="20" t="n"/>
      <c r="B41" s="21" t="n"/>
      <c r="C41" s="21" t="n"/>
      <c r="D41" s="21" t="n"/>
      <c r="E41" s="22" t="n"/>
      <c r="F41" s="23">
        <f>IF(A41="","",DATE(YEAR(A41),MONTH(A41),1))</f>
        <v/>
      </c>
    </row>
    <row r="42">
      <c r="A42" s="20" t="n"/>
      <c r="B42" s="21" t="n"/>
      <c r="C42" s="21" t="n"/>
      <c r="D42" s="21" t="n"/>
      <c r="E42" s="22" t="n"/>
      <c r="F42" s="23">
        <f>IF(A42="","",DATE(YEAR(A42),MONTH(A42),1))</f>
        <v/>
      </c>
    </row>
    <row r="43">
      <c r="A43" s="20" t="n"/>
      <c r="B43" s="21" t="n"/>
      <c r="C43" s="21" t="n"/>
      <c r="D43" s="21" t="n"/>
      <c r="E43" s="22" t="n"/>
      <c r="F43" s="23">
        <f>IF(A43="","",DATE(YEAR(A43),MONTH(A43),1))</f>
        <v/>
      </c>
    </row>
    <row r="44">
      <c r="A44" s="20" t="n"/>
      <c r="B44" s="21" t="n"/>
      <c r="C44" s="21" t="n"/>
      <c r="D44" s="21" t="n"/>
      <c r="E44" s="22" t="n"/>
      <c r="F44" s="23">
        <f>IF(A44="","",DATE(YEAR(A44),MONTH(A44),1))</f>
        <v/>
      </c>
    </row>
    <row r="45">
      <c r="A45" s="20" t="n"/>
      <c r="B45" s="21" t="n"/>
      <c r="C45" s="21" t="n"/>
      <c r="D45" s="21" t="n"/>
      <c r="E45" s="22" t="n"/>
      <c r="F45" s="23">
        <f>IF(A45="","",DATE(YEAR(A45),MONTH(A45),1))</f>
        <v/>
      </c>
    </row>
    <row r="46">
      <c r="A46" s="20" t="n"/>
      <c r="B46" s="21" t="n"/>
      <c r="C46" s="21" t="n"/>
      <c r="D46" s="21" t="n"/>
      <c r="E46" s="22" t="n"/>
      <c r="F46" s="23">
        <f>IF(A46="","",DATE(YEAR(A46),MONTH(A46),1))</f>
        <v/>
      </c>
    </row>
    <row r="47">
      <c r="A47" s="20" t="n"/>
      <c r="B47" s="21" t="n"/>
      <c r="C47" s="21" t="n"/>
      <c r="D47" s="21" t="n"/>
      <c r="E47" s="22" t="n"/>
      <c r="F47" s="23">
        <f>IF(A47="","",DATE(YEAR(A47),MONTH(A47),1))</f>
        <v/>
      </c>
    </row>
    <row r="48">
      <c r="A48" s="20" t="n"/>
      <c r="B48" s="21" t="n"/>
      <c r="C48" s="21" t="n"/>
      <c r="D48" s="21" t="n"/>
      <c r="E48" s="22" t="n"/>
      <c r="F48" s="23">
        <f>IF(A48="","",DATE(YEAR(A48),MONTH(A48),1))</f>
        <v/>
      </c>
    </row>
    <row r="49">
      <c r="A49" s="20" t="n"/>
      <c r="B49" s="21" t="n"/>
      <c r="C49" s="21" t="n"/>
      <c r="D49" s="21" t="n"/>
      <c r="E49" s="22" t="n"/>
      <c r="F49" s="23">
        <f>IF(A49="","",DATE(YEAR(A49),MONTH(A49),1))</f>
        <v/>
      </c>
    </row>
    <row r="50">
      <c r="A50" s="20" t="n"/>
      <c r="B50" s="21" t="n"/>
      <c r="C50" s="21" t="n"/>
      <c r="D50" s="21" t="n"/>
      <c r="E50" s="22" t="n"/>
      <c r="F50" s="23">
        <f>IF(A50="","",DATE(YEAR(A50),MONTH(A50),1))</f>
        <v/>
      </c>
    </row>
    <row r="51">
      <c r="A51" s="20" t="n"/>
      <c r="B51" s="21" t="n"/>
      <c r="C51" s="21" t="n"/>
      <c r="D51" s="21" t="n"/>
      <c r="E51" s="22" t="n"/>
      <c r="F51" s="23">
        <f>IF(A51="","",DATE(YEAR(A51),MONTH(A51),1))</f>
        <v/>
      </c>
    </row>
    <row r="52">
      <c r="A52" s="20" t="n"/>
      <c r="B52" s="21" t="n"/>
      <c r="C52" s="21" t="n"/>
      <c r="D52" s="21" t="n"/>
      <c r="E52" s="22" t="n"/>
      <c r="F52" s="23">
        <f>IF(A52="","",DATE(YEAR(A52),MONTH(A52),1))</f>
        <v/>
      </c>
    </row>
    <row r="53">
      <c r="A53" s="20" t="n"/>
      <c r="B53" s="21" t="n"/>
      <c r="C53" s="21" t="n"/>
      <c r="D53" s="21" t="n"/>
      <c r="E53" s="22" t="n"/>
      <c r="F53" s="23">
        <f>IF(A53="","",DATE(YEAR(A53),MONTH(A53),1))</f>
        <v/>
      </c>
    </row>
    <row r="54">
      <c r="A54" s="20" t="n"/>
      <c r="B54" s="21" t="n"/>
      <c r="C54" s="21" t="n"/>
      <c r="D54" s="21" t="n"/>
      <c r="E54" s="22" t="n"/>
      <c r="F54" s="23">
        <f>IF(A54="","",DATE(YEAR(A54),MONTH(A54),1))</f>
        <v/>
      </c>
    </row>
    <row r="55">
      <c r="A55" s="20" t="n"/>
      <c r="B55" s="21" t="n"/>
      <c r="C55" s="21" t="n"/>
      <c r="D55" s="21" t="n"/>
      <c r="E55" s="22" t="n"/>
      <c r="F55" s="23">
        <f>IF(A55="","",DATE(YEAR(A55),MONTH(A55),1))</f>
        <v/>
      </c>
    </row>
    <row r="56">
      <c r="A56" s="20" t="n"/>
      <c r="B56" s="21" t="n"/>
      <c r="C56" s="21" t="n"/>
      <c r="D56" s="21" t="n"/>
      <c r="E56" s="22" t="n"/>
      <c r="F56" s="23">
        <f>IF(A56="","",DATE(YEAR(A56),MONTH(A56),1))</f>
        <v/>
      </c>
    </row>
    <row r="57">
      <c r="A57" s="20" t="n"/>
      <c r="B57" s="21" t="n"/>
      <c r="C57" s="21" t="n"/>
      <c r="D57" s="21" t="n"/>
      <c r="E57" s="22" t="n"/>
      <c r="F57" s="23">
        <f>IF(A57="","",DATE(YEAR(A57),MONTH(A57),1))</f>
        <v/>
      </c>
    </row>
    <row r="58">
      <c r="A58" s="20" t="n"/>
      <c r="B58" s="21" t="n"/>
      <c r="C58" s="21" t="n"/>
      <c r="D58" s="21" t="n"/>
      <c r="E58" s="22" t="n"/>
      <c r="F58" s="23">
        <f>IF(A58="","",DATE(YEAR(A58),MONTH(A58),1))</f>
        <v/>
      </c>
    </row>
    <row r="59">
      <c r="A59" s="20" t="n"/>
      <c r="B59" s="21" t="n"/>
      <c r="C59" s="21" t="n"/>
      <c r="D59" s="21" t="n"/>
      <c r="E59" s="22" t="n"/>
      <c r="F59" s="23">
        <f>IF(A59="","",DATE(YEAR(A59),MONTH(A59),1))</f>
        <v/>
      </c>
    </row>
    <row r="60">
      <c r="A60" s="20" t="n"/>
      <c r="B60" s="21" t="n"/>
      <c r="C60" s="21" t="n"/>
      <c r="D60" s="21" t="n"/>
      <c r="E60" s="22" t="n"/>
      <c r="F60" s="23">
        <f>IF(A60="","",DATE(YEAR(A60),MONTH(A60),1))</f>
        <v/>
      </c>
    </row>
    <row r="61">
      <c r="A61" s="20" t="n"/>
      <c r="B61" s="21" t="n"/>
      <c r="C61" s="21" t="n"/>
      <c r="D61" s="21" t="n"/>
      <c r="E61" s="22" t="n"/>
      <c r="F61" s="23">
        <f>IF(A61="","",DATE(YEAR(A61),MONTH(A61),1))</f>
        <v/>
      </c>
    </row>
    <row r="62">
      <c r="A62" s="20" t="n"/>
      <c r="B62" s="21" t="n"/>
      <c r="C62" s="21" t="n"/>
      <c r="D62" s="21" t="n"/>
      <c r="E62" s="22" t="n"/>
      <c r="F62" s="23">
        <f>IF(A62="","",DATE(YEAR(A62),MONTH(A62),1))</f>
        <v/>
      </c>
    </row>
    <row r="63">
      <c r="A63" s="20" t="n"/>
      <c r="B63" s="21" t="n"/>
      <c r="C63" s="21" t="n"/>
      <c r="D63" s="21" t="n"/>
      <c r="E63" s="22" t="n"/>
      <c r="F63" s="23">
        <f>IF(A63="","",DATE(YEAR(A63),MONTH(A63),1))</f>
        <v/>
      </c>
    </row>
    <row r="64">
      <c r="A64" s="20" t="n"/>
      <c r="B64" s="21" t="n"/>
      <c r="C64" s="21" t="n"/>
      <c r="D64" s="21" t="n"/>
      <c r="E64" s="22" t="n"/>
      <c r="F64" s="23">
        <f>IF(A64="","",DATE(YEAR(A64),MONTH(A64),1))</f>
        <v/>
      </c>
    </row>
    <row r="65">
      <c r="A65" s="20" t="n"/>
      <c r="B65" s="21" t="n"/>
      <c r="C65" s="21" t="n"/>
      <c r="D65" s="21" t="n"/>
      <c r="E65" s="22" t="n"/>
      <c r="F65" s="23">
        <f>IF(A65="","",DATE(YEAR(A65),MONTH(A65),1))</f>
        <v/>
      </c>
    </row>
    <row r="66">
      <c r="A66" s="20" t="n"/>
      <c r="B66" s="21" t="n"/>
      <c r="C66" s="21" t="n"/>
      <c r="D66" s="21" t="n"/>
      <c r="E66" s="22" t="n"/>
      <c r="F66" s="23">
        <f>IF(A66="","",DATE(YEAR(A66),MONTH(A66),1))</f>
        <v/>
      </c>
    </row>
    <row r="67">
      <c r="A67" s="20" t="n"/>
      <c r="B67" s="21" t="n"/>
      <c r="C67" s="21" t="n"/>
      <c r="D67" s="21" t="n"/>
      <c r="E67" s="22" t="n"/>
      <c r="F67" s="23">
        <f>IF(A67="","",DATE(YEAR(A67),MONTH(A67),1))</f>
        <v/>
      </c>
    </row>
    <row r="68">
      <c r="A68" s="20" t="n"/>
      <c r="B68" s="21" t="n"/>
      <c r="C68" s="21" t="n"/>
      <c r="D68" s="21" t="n"/>
      <c r="E68" s="22" t="n"/>
      <c r="F68" s="23">
        <f>IF(A68="","",DATE(YEAR(A68),MONTH(A68),1))</f>
        <v/>
      </c>
    </row>
    <row r="69">
      <c r="A69" s="20" t="n"/>
      <c r="B69" s="21" t="n"/>
      <c r="C69" s="21" t="n"/>
      <c r="D69" s="21" t="n"/>
      <c r="E69" s="22" t="n"/>
      <c r="F69" s="23">
        <f>IF(A69="","",DATE(YEAR(A69),MONTH(A69),1))</f>
        <v/>
      </c>
    </row>
    <row r="70">
      <c r="A70" s="20" t="n"/>
      <c r="B70" s="21" t="n"/>
      <c r="C70" s="21" t="n"/>
      <c r="D70" s="21" t="n"/>
      <c r="E70" s="22" t="n"/>
      <c r="F70" s="23">
        <f>IF(A70="","",DATE(YEAR(A70),MONTH(A70),1))</f>
        <v/>
      </c>
    </row>
    <row r="71">
      <c r="A71" s="20" t="n"/>
      <c r="B71" s="21" t="n"/>
      <c r="C71" s="21" t="n"/>
      <c r="D71" s="21" t="n"/>
      <c r="E71" s="22" t="n"/>
      <c r="F71" s="23">
        <f>IF(A71="","",DATE(YEAR(A71),MONTH(A71),1))</f>
        <v/>
      </c>
    </row>
    <row r="72">
      <c r="A72" s="20" t="n"/>
      <c r="B72" s="21" t="n"/>
      <c r="C72" s="21" t="n"/>
      <c r="D72" s="21" t="n"/>
      <c r="E72" s="22" t="n"/>
      <c r="F72" s="23">
        <f>IF(A72="","",DATE(YEAR(A72),MONTH(A72),1))</f>
        <v/>
      </c>
    </row>
    <row r="73">
      <c r="A73" s="20" t="n"/>
      <c r="B73" s="21" t="n"/>
      <c r="C73" s="21" t="n"/>
      <c r="D73" s="21" t="n"/>
      <c r="E73" s="22" t="n"/>
      <c r="F73" s="23">
        <f>IF(A73="","",DATE(YEAR(A73),MONTH(A73),1))</f>
        <v/>
      </c>
    </row>
    <row r="74">
      <c r="A74" s="20" t="n"/>
      <c r="B74" s="21" t="n"/>
      <c r="C74" s="21" t="n"/>
      <c r="D74" s="21" t="n"/>
      <c r="E74" s="22" t="n"/>
      <c r="F74" s="23">
        <f>IF(A74="","",DATE(YEAR(A74),MONTH(A74),1))</f>
        <v/>
      </c>
    </row>
    <row r="75">
      <c r="A75" s="20" t="n"/>
      <c r="B75" s="21" t="n"/>
      <c r="C75" s="21" t="n"/>
      <c r="D75" s="21" t="n"/>
      <c r="E75" s="22" t="n"/>
      <c r="F75" s="23">
        <f>IF(A75="","",DATE(YEAR(A75),MONTH(A75),1))</f>
        <v/>
      </c>
    </row>
    <row r="76">
      <c r="A76" s="20" t="n"/>
      <c r="B76" s="21" t="n"/>
      <c r="C76" s="21" t="n"/>
      <c r="D76" s="21" t="n"/>
      <c r="E76" s="22" t="n"/>
      <c r="F76" s="23">
        <f>IF(A76="","",DATE(YEAR(A76),MONTH(A76),1))</f>
        <v/>
      </c>
    </row>
    <row r="77">
      <c r="A77" s="20" t="n"/>
      <c r="B77" s="21" t="n"/>
      <c r="C77" s="21" t="n"/>
      <c r="D77" s="21" t="n"/>
      <c r="E77" s="22" t="n"/>
      <c r="F77" s="23">
        <f>IF(A77="","",DATE(YEAR(A77),MONTH(A77),1))</f>
        <v/>
      </c>
    </row>
    <row r="78">
      <c r="A78" s="20" t="n"/>
      <c r="B78" s="21" t="n"/>
      <c r="C78" s="21" t="n"/>
      <c r="D78" s="21" t="n"/>
      <c r="E78" s="22" t="n"/>
      <c r="F78" s="23">
        <f>IF(A78="","",DATE(YEAR(A78),MONTH(A78),1))</f>
        <v/>
      </c>
    </row>
    <row r="79">
      <c r="A79" s="20" t="n"/>
      <c r="B79" s="21" t="n"/>
      <c r="C79" s="21" t="n"/>
      <c r="D79" s="21" t="n"/>
      <c r="E79" s="22" t="n"/>
      <c r="F79" s="23">
        <f>IF(A79="","",DATE(YEAR(A79),MONTH(A79),1))</f>
        <v/>
      </c>
    </row>
    <row r="80">
      <c r="A80" s="20" t="n"/>
      <c r="B80" s="21" t="n"/>
      <c r="C80" s="21" t="n"/>
      <c r="D80" s="21" t="n"/>
      <c r="E80" s="22" t="n"/>
      <c r="F80" s="23">
        <f>IF(A80="","",DATE(YEAR(A80),MONTH(A80),1))</f>
        <v/>
      </c>
    </row>
    <row r="81">
      <c r="A81" s="20" t="n"/>
      <c r="B81" s="21" t="n"/>
      <c r="C81" s="21" t="n"/>
      <c r="D81" s="21" t="n"/>
      <c r="E81" s="22" t="n"/>
      <c r="F81" s="23">
        <f>IF(A81="","",DATE(YEAR(A81),MONTH(A81),1))</f>
        <v/>
      </c>
    </row>
    <row r="82">
      <c r="A82" s="20" t="n"/>
      <c r="B82" s="21" t="n"/>
      <c r="C82" s="21" t="n"/>
      <c r="D82" s="21" t="n"/>
      <c r="E82" s="22" t="n"/>
      <c r="F82" s="23">
        <f>IF(A82="","",DATE(YEAR(A82),MONTH(A82),1))</f>
        <v/>
      </c>
    </row>
    <row r="83">
      <c r="A83" s="20" t="n"/>
      <c r="B83" s="21" t="n"/>
      <c r="C83" s="21" t="n"/>
      <c r="D83" s="21" t="n"/>
      <c r="E83" s="22" t="n"/>
      <c r="F83" s="23">
        <f>IF(A83="","",DATE(YEAR(A83),MONTH(A83),1))</f>
        <v/>
      </c>
    </row>
    <row r="84">
      <c r="A84" s="20" t="n"/>
      <c r="B84" s="21" t="n"/>
      <c r="C84" s="21" t="n"/>
      <c r="D84" s="21" t="n"/>
      <c r="E84" s="22" t="n"/>
      <c r="F84" s="23">
        <f>IF(A84="","",DATE(YEAR(A84),MONTH(A84),1))</f>
        <v/>
      </c>
    </row>
    <row r="85">
      <c r="A85" s="20" t="n"/>
      <c r="B85" s="21" t="n"/>
      <c r="C85" s="21" t="n"/>
      <c r="D85" s="21" t="n"/>
      <c r="E85" s="22" t="n"/>
      <c r="F85" s="23">
        <f>IF(A85="","",DATE(YEAR(A85),MONTH(A85),1))</f>
        <v/>
      </c>
    </row>
    <row r="86">
      <c r="A86" s="20" t="n"/>
      <c r="B86" s="21" t="n"/>
      <c r="C86" s="21" t="n"/>
      <c r="D86" s="21" t="n"/>
      <c r="E86" s="22" t="n"/>
      <c r="F86" s="23">
        <f>IF(A86="","",DATE(YEAR(A86),MONTH(A86),1))</f>
        <v/>
      </c>
    </row>
    <row r="87">
      <c r="A87" s="20" t="n"/>
      <c r="B87" s="21" t="n"/>
      <c r="C87" s="21" t="n"/>
      <c r="D87" s="21" t="n"/>
      <c r="E87" s="22" t="n"/>
      <c r="F87" s="23">
        <f>IF(A87="","",DATE(YEAR(A87),MONTH(A87),1))</f>
        <v/>
      </c>
    </row>
    <row r="88">
      <c r="A88" s="20" t="n"/>
      <c r="B88" s="21" t="n"/>
      <c r="C88" s="21" t="n"/>
      <c r="D88" s="21" t="n"/>
      <c r="E88" s="22" t="n"/>
      <c r="F88" s="23">
        <f>IF(A88="","",DATE(YEAR(A88),MONTH(A88),1))</f>
        <v/>
      </c>
    </row>
    <row r="89">
      <c r="A89" s="20" t="n"/>
      <c r="B89" s="21" t="n"/>
      <c r="C89" s="21" t="n"/>
      <c r="D89" s="21" t="n"/>
      <c r="E89" s="22" t="n"/>
      <c r="F89" s="23">
        <f>IF(A89="","",DATE(YEAR(A89),MONTH(A89),1))</f>
        <v/>
      </c>
    </row>
    <row r="90">
      <c r="A90" s="20" t="n"/>
      <c r="B90" s="21" t="n"/>
      <c r="C90" s="21" t="n"/>
      <c r="D90" s="21" t="n"/>
      <c r="E90" s="22" t="n"/>
      <c r="F90" s="23">
        <f>IF(A90="","",DATE(YEAR(A90),MONTH(A90),1))</f>
        <v/>
      </c>
    </row>
    <row r="91">
      <c r="A91" s="20" t="n"/>
      <c r="B91" s="21" t="n"/>
      <c r="C91" s="21" t="n"/>
      <c r="D91" s="21" t="n"/>
      <c r="E91" s="22" t="n"/>
      <c r="F91" s="23">
        <f>IF(A91="","",DATE(YEAR(A91),MONTH(A91),1))</f>
        <v/>
      </c>
    </row>
    <row r="92">
      <c r="A92" s="20" t="n"/>
      <c r="B92" s="21" t="n"/>
      <c r="C92" s="21" t="n"/>
      <c r="D92" s="21" t="n"/>
      <c r="E92" s="22" t="n"/>
      <c r="F92" s="23">
        <f>IF(A92="","",DATE(YEAR(A92),MONTH(A92),1))</f>
        <v/>
      </c>
    </row>
    <row r="93">
      <c r="A93" s="20" t="n"/>
      <c r="B93" s="21" t="n"/>
      <c r="C93" s="21" t="n"/>
      <c r="D93" s="21" t="n"/>
      <c r="E93" s="22" t="n"/>
      <c r="F93" s="23">
        <f>IF(A93="","",DATE(YEAR(A93),MONTH(A93),1))</f>
        <v/>
      </c>
    </row>
    <row r="94">
      <c r="A94" s="20" t="n"/>
      <c r="B94" s="21" t="n"/>
      <c r="C94" s="21" t="n"/>
      <c r="D94" s="21" t="n"/>
      <c r="E94" s="22" t="n"/>
      <c r="F94" s="23">
        <f>IF(A94="","",DATE(YEAR(A94),MONTH(A94),1))</f>
        <v/>
      </c>
    </row>
    <row r="95">
      <c r="A95" s="20" t="n"/>
      <c r="B95" s="21" t="n"/>
      <c r="C95" s="21" t="n"/>
      <c r="D95" s="21" t="n"/>
      <c r="E95" s="22" t="n"/>
      <c r="F95" s="23">
        <f>IF(A95="","",DATE(YEAR(A95),MONTH(A95),1))</f>
        <v/>
      </c>
    </row>
    <row r="96">
      <c r="A96" s="20" t="n"/>
      <c r="B96" s="21" t="n"/>
      <c r="C96" s="21" t="n"/>
      <c r="D96" s="21" t="n"/>
      <c r="E96" s="22" t="n"/>
      <c r="F96" s="23">
        <f>IF(A96="","",DATE(YEAR(A96),MONTH(A96),1))</f>
        <v/>
      </c>
    </row>
    <row r="97">
      <c r="A97" s="20" t="n"/>
      <c r="B97" s="21" t="n"/>
      <c r="C97" s="21" t="n"/>
      <c r="D97" s="21" t="n"/>
      <c r="E97" s="22" t="n"/>
      <c r="F97" s="23">
        <f>IF(A97="","",DATE(YEAR(A97),MONTH(A97),1))</f>
        <v/>
      </c>
    </row>
    <row r="98">
      <c r="A98" s="20" t="n"/>
      <c r="B98" s="21" t="n"/>
      <c r="C98" s="21" t="n"/>
      <c r="D98" s="21" t="n"/>
      <c r="E98" s="22" t="n"/>
      <c r="F98" s="23">
        <f>IF(A98="","",DATE(YEAR(A98),MONTH(A98),1))</f>
        <v/>
      </c>
    </row>
    <row r="99">
      <c r="A99" s="20" t="n"/>
      <c r="B99" s="21" t="n"/>
      <c r="C99" s="21" t="n"/>
      <c r="D99" s="21" t="n"/>
      <c r="E99" s="22" t="n"/>
      <c r="F99" s="23">
        <f>IF(A99="","",DATE(YEAR(A99),MONTH(A99),1))</f>
        <v/>
      </c>
    </row>
    <row r="100">
      <c r="A100" s="20" t="n"/>
      <c r="B100" s="21" t="n"/>
      <c r="C100" s="21" t="n"/>
      <c r="D100" s="21" t="n"/>
      <c r="E100" s="22" t="n"/>
      <c r="F100" s="23">
        <f>IF(A100="","",DATE(YEAR(A100),MONTH(A100),1))</f>
        <v/>
      </c>
    </row>
    <row r="101">
      <c r="A101" s="20" t="n"/>
      <c r="B101" s="21" t="n"/>
      <c r="C101" s="21" t="n"/>
      <c r="D101" s="21" t="n"/>
      <c r="E101" s="22" t="n"/>
      <c r="F101" s="23">
        <f>IF(A101="","",DATE(YEAR(A101),MONTH(A101),1))</f>
        <v/>
      </c>
    </row>
    <row r="102">
      <c r="A102" s="20" t="n"/>
      <c r="B102" s="21" t="n"/>
      <c r="C102" s="21" t="n"/>
      <c r="D102" s="21" t="n"/>
      <c r="E102" s="22" t="n"/>
      <c r="F102" s="23">
        <f>IF(A102="","",DATE(YEAR(A102),MONTH(A102),1))</f>
        <v/>
      </c>
    </row>
    <row r="103">
      <c r="A103" s="20" t="n"/>
      <c r="B103" s="21" t="n"/>
      <c r="C103" s="21" t="n"/>
      <c r="D103" s="21" t="n"/>
      <c r="E103" s="22" t="n"/>
      <c r="F103" s="23">
        <f>IF(A103="","",DATE(YEAR(A103),MONTH(A103),1))</f>
        <v/>
      </c>
    </row>
    <row r="104">
      <c r="A104" s="20" t="n"/>
      <c r="B104" s="21" t="n"/>
      <c r="C104" s="21" t="n"/>
      <c r="D104" s="21" t="n"/>
      <c r="E104" s="22" t="n"/>
      <c r="F104" s="23">
        <f>IF(A104="","",DATE(YEAR(A104),MONTH(A104),1))</f>
        <v/>
      </c>
    </row>
    <row r="105">
      <c r="A105" s="20" t="n"/>
      <c r="B105" s="21" t="n"/>
      <c r="C105" s="21" t="n"/>
      <c r="D105" s="21" t="n"/>
      <c r="E105" s="22" t="n"/>
      <c r="F105" s="23">
        <f>IF(A105="","",DATE(YEAR(A105),MONTH(A105),1))</f>
        <v/>
      </c>
    </row>
    <row r="106">
      <c r="A106" s="20" t="n"/>
      <c r="B106" s="21" t="n"/>
      <c r="C106" s="21" t="n"/>
      <c r="D106" s="21" t="n"/>
      <c r="E106" s="22" t="n"/>
      <c r="F106" s="23">
        <f>IF(A106="","",DATE(YEAR(A106),MONTH(A106),1))</f>
        <v/>
      </c>
    </row>
    <row r="107">
      <c r="A107" s="20" t="n"/>
      <c r="B107" s="21" t="n"/>
      <c r="C107" s="21" t="n"/>
      <c r="D107" s="21" t="n"/>
      <c r="E107" s="22" t="n"/>
      <c r="F107" s="23">
        <f>IF(A107="","",DATE(YEAR(A107),MONTH(A107),1))</f>
        <v/>
      </c>
    </row>
    <row r="108">
      <c r="A108" s="20" t="n"/>
      <c r="B108" s="21" t="n"/>
      <c r="C108" s="21" t="n"/>
      <c r="D108" s="21" t="n"/>
      <c r="E108" s="22" t="n"/>
      <c r="F108" s="23">
        <f>IF(A108="","",DATE(YEAR(A108),MONTH(A108),1))</f>
        <v/>
      </c>
    </row>
    <row r="109">
      <c r="A109" s="20" t="n"/>
      <c r="B109" s="21" t="n"/>
      <c r="C109" s="21" t="n"/>
      <c r="D109" s="21" t="n"/>
      <c r="E109" s="22" t="n"/>
      <c r="F109" s="23">
        <f>IF(A109="","",DATE(YEAR(A109),MONTH(A109),1))</f>
        <v/>
      </c>
    </row>
    <row r="110">
      <c r="A110" s="20" t="n"/>
      <c r="B110" s="21" t="n"/>
      <c r="C110" s="21" t="n"/>
      <c r="D110" s="21" t="n"/>
      <c r="E110" s="22" t="n"/>
      <c r="F110" s="23">
        <f>IF(A110="","",DATE(YEAR(A110),MONTH(A110),1))</f>
        <v/>
      </c>
    </row>
    <row r="111">
      <c r="A111" s="20" t="n"/>
      <c r="B111" s="21" t="n"/>
      <c r="C111" s="21" t="n"/>
      <c r="D111" s="21" t="n"/>
      <c r="E111" s="22" t="n"/>
      <c r="F111" s="23">
        <f>IF(A111="","",DATE(YEAR(A111),MONTH(A111),1))</f>
        <v/>
      </c>
    </row>
    <row r="112">
      <c r="A112" s="20" t="n"/>
      <c r="B112" s="21" t="n"/>
      <c r="C112" s="21" t="n"/>
      <c r="D112" s="21" t="n"/>
      <c r="E112" s="22" t="n"/>
      <c r="F112" s="23">
        <f>IF(A112="","",DATE(YEAR(A112),MONTH(A112),1))</f>
        <v/>
      </c>
    </row>
    <row r="113">
      <c r="A113" s="20" t="n"/>
      <c r="B113" s="21" t="n"/>
      <c r="C113" s="21" t="n"/>
      <c r="D113" s="21" t="n"/>
      <c r="E113" s="22" t="n"/>
      <c r="F113" s="23">
        <f>IF(A113="","",DATE(YEAR(A113),MONTH(A113),1))</f>
        <v/>
      </c>
    </row>
    <row r="114">
      <c r="A114" s="20" t="n"/>
      <c r="B114" s="21" t="n"/>
      <c r="C114" s="21" t="n"/>
      <c r="D114" s="21" t="n"/>
      <c r="E114" s="22" t="n"/>
      <c r="F114" s="23">
        <f>IF(A114="","",DATE(YEAR(A114),MONTH(A114),1))</f>
        <v/>
      </c>
    </row>
    <row r="115">
      <c r="A115" s="20" t="n"/>
      <c r="B115" s="21" t="n"/>
      <c r="C115" s="21" t="n"/>
      <c r="D115" s="21" t="n"/>
      <c r="E115" s="22" t="n"/>
      <c r="F115" s="23">
        <f>IF(A115="","",DATE(YEAR(A115),MONTH(A115),1))</f>
        <v/>
      </c>
    </row>
    <row r="116">
      <c r="A116" s="20" t="n"/>
      <c r="B116" s="21" t="n"/>
      <c r="C116" s="21" t="n"/>
      <c r="D116" s="21" t="n"/>
      <c r="E116" s="22" t="n"/>
      <c r="F116" s="23">
        <f>IF(A116="","",DATE(YEAR(A116),MONTH(A116),1))</f>
        <v/>
      </c>
    </row>
    <row r="117">
      <c r="A117" s="20" t="n"/>
      <c r="B117" s="21" t="n"/>
      <c r="C117" s="21" t="n"/>
      <c r="D117" s="21" t="n"/>
      <c r="E117" s="22" t="n"/>
      <c r="F117" s="23">
        <f>IF(A117="","",DATE(YEAR(A117),MONTH(A117),1))</f>
        <v/>
      </c>
    </row>
    <row r="118">
      <c r="A118" s="20" t="n"/>
      <c r="B118" s="21" t="n"/>
      <c r="C118" s="21" t="n"/>
      <c r="D118" s="21" t="n"/>
      <c r="E118" s="22" t="n"/>
      <c r="F118" s="23">
        <f>IF(A118="","",DATE(YEAR(A118),MONTH(A118),1))</f>
        <v/>
      </c>
    </row>
    <row r="119">
      <c r="A119" s="20" t="n"/>
      <c r="B119" s="21" t="n"/>
      <c r="C119" s="21" t="n"/>
      <c r="D119" s="21" t="n"/>
      <c r="E119" s="22" t="n"/>
      <c r="F119" s="23">
        <f>IF(A119="","",DATE(YEAR(A119),MONTH(A119),1))</f>
        <v/>
      </c>
    </row>
    <row r="120">
      <c r="A120" s="20" t="n"/>
      <c r="B120" s="21" t="n"/>
      <c r="C120" s="21" t="n"/>
      <c r="D120" s="21" t="n"/>
      <c r="E120" s="22" t="n"/>
      <c r="F120" s="23">
        <f>IF(A120="","",DATE(YEAR(A120),MONTH(A120),1))</f>
        <v/>
      </c>
    </row>
    <row r="121">
      <c r="A121" s="20" t="n"/>
      <c r="B121" s="21" t="n"/>
      <c r="C121" s="21" t="n"/>
      <c r="D121" s="21" t="n"/>
      <c r="E121" s="22" t="n"/>
      <c r="F121" s="23">
        <f>IF(A121="","",DATE(YEAR(A121),MONTH(A121),1))</f>
        <v/>
      </c>
    </row>
    <row r="122">
      <c r="A122" s="20" t="n"/>
      <c r="B122" s="21" t="n"/>
      <c r="C122" s="21" t="n"/>
      <c r="D122" s="21" t="n"/>
      <c r="E122" s="22" t="n"/>
      <c r="F122" s="23">
        <f>IF(A122="","",DATE(YEAR(A122),MONTH(A122),1))</f>
        <v/>
      </c>
    </row>
    <row r="123">
      <c r="A123" s="20" t="n"/>
      <c r="B123" s="21" t="n"/>
      <c r="C123" s="21" t="n"/>
      <c r="D123" s="21" t="n"/>
      <c r="E123" s="22" t="n"/>
      <c r="F123" s="23">
        <f>IF(A123="","",DATE(YEAR(A123),MONTH(A123),1))</f>
        <v/>
      </c>
    </row>
    <row r="124">
      <c r="A124" s="20" t="n"/>
      <c r="B124" s="21" t="n"/>
      <c r="C124" s="21" t="n"/>
      <c r="D124" s="21" t="n"/>
      <c r="E124" s="22" t="n"/>
      <c r="F124" s="23">
        <f>IF(A124="","",DATE(YEAR(A124),MONTH(A124),1))</f>
        <v/>
      </c>
    </row>
    <row r="125">
      <c r="A125" s="20" t="n"/>
      <c r="B125" s="21" t="n"/>
      <c r="C125" s="21" t="n"/>
      <c r="D125" s="21" t="n"/>
      <c r="E125" s="22" t="n"/>
      <c r="F125" s="23">
        <f>IF(A125="","",DATE(YEAR(A125),MONTH(A125),1))</f>
        <v/>
      </c>
    </row>
    <row r="126">
      <c r="A126" s="20" t="n"/>
      <c r="B126" s="21" t="n"/>
      <c r="C126" s="21" t="n"/>
      <c r="D126" s="21" t="n"/>
      <c r="E126" s="22" t="n"/>
      <c r="F126" s="23">
        <f>IF(A126="","",DATE(YEAR(A126),MONTH(A126),1))</f>
        <v/>
      </c>
    </row>
    <row r="127">
      <c r="A127" s="20" t="n"/>
      <c r="B127" s="21" t="n"/>
      <c r="C127" s="21" t="n"/>
      <c r="D127" s="21" t="n"/>
      <c r="E127" s="22" t="n"/>
      <c r="F127" s="23">
        <f>IF(A127="","",DATE(YEAR(A127),MONTH(A127),1))</f>
        <v/>
      </c>
    </row>
    <row r="128">
      <c r="A128" s="20" t="n"/>
      <c r="B128" s="21" t="n"/>
      <c r="C128" s="21" t="n"/>
      <c r="D128" s="21" t="n"/>
      <c r="E128" s="22" t="n"/>
      <c r="F128" s="23">
        <f>IF(A128="","",DATE(YEAR(A128),MONTH(A128),1))</f>
        <v/>
      </c>
    </row>
    <row r="129">
      <c r="A129" s="20" t="n"/>
      <c r="B129" s="21" t="n"/>
      <c r="C129" s="21" t="n"/>
      <c r="D129" s="21" t="n"/>
      <c r="E129" s="22" t="n"/>
      <c r="F129" s="23">
        <f>IF(A129="","",DATE(YEAR(A129),MONTH(A129),1))</f>
        <v/>
      </c>
    </row>
    <row r="130">
      <c r="A130" s="20" t="n"/>
      <c r="B130" s="21" t="n"/>
      <c r="C130" s="21" t="n"/>
      <c r="D130" s="21" t="n"/>
      <c r="E130" s="22" t="n"/>
      <c r="F130" s="23">
        <f>IF(A130="","",DATE(YEAR(A130),MONTH(A130),1))</f>
        <v/>
      </c>
    </row>
    <row r="131">
      <c r="A131" s="20" t="n"/>
      <c r="B131" s="21" t="n"/>
      <c r="C131" s="21" t="n"/>
      <c r="D131" s="21" t="n"/>
      <c r="E131" s="22" t="n"/>
      <c r="F131" s="23">
        <f>IF(A131="","",DATE(YEAR(A131),MONTH(A131),1))</f>
        <v/>
      </c>
    </row>
    <row r="132">
      <c r="A132" s="20" t="n"/>
      <c r="B132" s="21" t="n"/>
      <c r="C132" s="21" t="n"/>
      <c r="D132" s="21" t="n"/>
      <c r="E132" s="22" t="n"/>
      <c r="F132" s="23">
        <f>IF(A132="","",DATE(YEAR(A132),MONTH(A132),1))</f>
        <v/>
      </c>
    </row>
    <row r="133">
      <c r="A133" s="20" t="n"/>
      <c r="B133" s="21" t="n"/>
      <c r="C133" s="21" t="n"/>
      <c r="D133" s="21" t="n"/>
      <c r="E133" s="22" t="n"/>
      <c r="F133" s="23">
        <f>IF(A133="","",DATE(YEAR(A133),MONTH(A133),1))</f>
        <v/>
      </c>
    </row>
    <row r="134">
      <c r="A134" s="20" t="n"/>
      <c r="B134" s="21" t="n"/>
      <c r="C134" s="21" t="n"/>
      <c r="D134" s="21" t="n"/>
      <c r="E134" s="22" t="n"/>
      <c r="F134" s="23">
        <f>IF(A134="","",DATE(YEAR(A134),MONTH(A134),1))</f>
        <v/>
      </c>
    </row>
    <row r="135">
      <c r="A135" s="20" t="n"/>
      <c r="B135" s="21" t="n"/>
      <c r="C135" s="21" t="n"/>
      <c r="D135" s="21" t="n"/>
      <c r="E135" s="22" t="n"/>
      <c r="F135" s="23">
        <f>IF(A135="","",DATE(YEAR(A135),MONTH(A135),1))</f>
        <v/>
      </c>
    </row>
    <row r="136">
      <c r="A136" s="20" t="n"/>
      <c r="B136" s="21" t="n"/>
      <c r="C136" s="21" t="n"/>
      <c r="D136" s="21" t="n"/>
      <c r="E136" s="22" t="n"/>
      <c r="F136" s="23">
        <f>IF(A136="","",DATE(YEAR(A136),MONTH(A136),1))</f>
        <v/>
      </c>
    </row>
    <row r="137">
      <c r="A137" s="20" t="n"/>
      <c r="B137" s="21" t="n"/>
      <c r="C137" s="21" t="n"/>
      <c r="D137" s="21" t="n"/>
      <c r="E137" s="22" t="n"/>
      <c r="F137" s="23">
        <f>IF(A137="","",DATE(YEAR(A137),MONTH(A137),1))</f>
        <v/>
      </c>
    </row>
    <row r="138">
      <c r="A138" s="20" t="n"/>
      <c r="B138" s="21" t="n"/>
      <c r="C138" s="21" t="n"/>
      <c r="D138" s="21" t="n"/>
      <c r="E138" s="22" t="n"/>
      <c r="F138" s="23">
        <f>IF(A138="","",DATE(YEAR(A138),MONTH(A138),1))</f>
        <v/>
      </c>
    </row>
    <row r="139">
      <c r="A139" s="20" t="n"/>
      <c r="B139" s="21" t="n"/>
      <c r="C139" s="21" t="n"/>
      <c r="D139" s="21" t="n"/>
      <c r="E139" s="22" t="n"/>
      <c r="F139" s="23">
        <f>IF(A139="","",DATE(YEAR(A139),MONTH(A139),1))</f>
        <v/>
      </c>
    </row>
    <row r="140">
      <c r="A140" s="20" t="n"/>
      <c r="B140" s="21" t="n"/>
      <c r="C140" s="21" t="n"/>
      <c r="D140" s="21" t="n"/>
      <c r="E140" s="22" t="n"/>
      <c r="F140" s="23">
        <f>IF(A140="","",DATE(YEAR(A140),MONTH(A140),1))</f>
        <v/>
      </c>
    </row>
    <row r="141">
      <c r="A141" s="20" t="n"/>
      <c r="B141" s="21" t="n"/>
      <c r="C141" s="21" t="n"/>
      <c r="D141" s="21" t="n"/>
      <c r="E141" s="22" t="n"/>
      <c r="F141" s="23">
        <f>IF(A141="","",DATE(YEAR(A141),MONTH(A141),1))</f>
        <v/>
      </c>
    </row>
    <row r="142">
      <c r="A142" s="20" t="n"/>
      <c r="B142" s="21" t="n"/>
      <c r="C142" s="21" t="n"/>
      <c r="D142" s="21" t="n"/>
      <c r="E142" s="22" t="n"/>
      <c r="F142" s="23">
        <f>IF(A142="","",DATE(YEAR(A142),MONTH(A142),1))</f>
        <v/>
      </c>
    </row>
    <row r="143">
      <c r="A143" s="20" t="n"/>
      <c r="B143" s="21" t="n"/>
      <c r="C143" s="21" t="n"/>
      <c r="D143" s="21" t="n"/>
      <c r="E143" s="22" t="n"/>
      <c r="F143" s="23">
        <f>IF(A143="","",DATE(YEAR(A143),MONTH(A143),1))</f>
        <v/>
      </c>
    </row>
    <row r="144">
      <c r="A144" s="20" t="n"/>
      <c r="B144" s="21" t="n"/>
      <c r="C144" s="21" t="n"/>
      <c r="D144" s="21" t="n"/>
      <c r="E144" s="22" t="n"/>
      <c r="F144" s="23">
        <f>IF(A144="","",DATE(YEAR(A144),MONTH(A144),1))</f>
        <v/>
      </c>
    </row>
    <row r="145">
      <c r="A145" s="20" t="n"/>
      <c r="B145" s="21" t="n"/>
      <c r="C145" s="21" t="n"/>
      <c r="D145" s="21" t="n"/>
      <c r="E145" s="22" t="n"/>
      <c r="F145" s="23">
        <f>IF(A145="","",DATE(YEAR(A145),MONTH(A145),1))</f>
        <v/>
      </c>
    </row>
    <row r="146">
      <c r="A146" s="20" t="n"/>
      <c r="B146" s="21" t="n"/>
      <c r="C146" s="21" t="n"/>
      <c r="D146" s="21" t="n"/>
      <c r="E146" s="22" t="n"/>
      <c r="F146" s="23">
        <f>IF(A146="","",DATE(YEAR(A146),MONTH(A146),1))</f>
        <v/>
      </c>
    </row>
    <row r="147">
      <c r="A147" s="20" t="n"/>
      <c r="B147" s="21" t="n"/>
      <c r="C147" s="21" t="n"/>
      <c r="D147" s="21" t="n"/>
      <c r="E147" s="22" t="n"/>
      <c r="F147" s="23">
        <f>IF(A147="","",DATE(YEAR(A147),MONTH(A147),1))</f>
        <v/>
      </c>
    </row>
    <row r="148">
      <c r="A148" s="20" t="n"/>
      <c r="B148" s="21" t="n"/>
      <c r="C148" s="21" t="n"/>
      <c r="D148" s="21" t="n"/>
      <c r="E148" s="22" t="n"/>
      <c r="F148" s="23">
        <f>IF(A148="","",DATE(YEAR(A148),MONTH(A148),1))</f>
        <v/>
      </c>
    </row>
    <row r="149">
      <c r="A149" s="20" t="n"/>
      <c r="B149" s="21" t="n"/>
      <c r="C149" s="21" t="n"/>
      <c r="D149" s="21" t="n"/>
      <c r="E149" s="22" t="n"/>
      <c r="F149" s="23">
        <f>IF(A149="","",DATE(YEAR(A149),MONTH(A149),1))</f>
        <v/>
      </c>
    </row>
    <row r="150">
      <c r="A150" s="20" t="n"/>
      <c r="B150" s="21" t="n"/>
      <c r="C150" s="21" t="n"/>
      <c r="D150" s="21" t="n"/>
      <c r="E150" s="22" t="n"/>
      <c r="F150" s="23">
        <f>IF(A150="","",DATE(YEAR(A150),MONTH(A150),1))</f>
        <v/>
      </c>
    </row>
    <row r="151">
      <c r="A151" s="20" t="n"/>
      <c r="B151" s="21" t="n"/>
      <c r="C151" s="21" t="n"/>
      <c r="D151" s="21" t="n"/>
      <c r="E151" s="22" t="n"/>
      <c r="F151" s="23">
        <f>IF(A151="","",DATE(YEAR(A151),MONTH(A151),1))</f>
        <v/>
      </c>
    </row>
    <row r="152">
      <c r="A152" s="20" t="n"/>
      <c r="B152" s="21" t="n"/>
      <c r="C152" s="21" t="n"/>
      <c r="D152" s="21" t="n"/>
      <c r="E152" s="22" t="n"/>
      <c r="F152" s="23">
        <f>IF(A152="","",DATE(YEAR(A152),MONTH(A152),1))</f>
        <v/>
      </c>
    </row>
    <row r="153">
      <c r="A153" s="20" t="n"/>
      <c r="B153" s="21" t="n"/>
      <c r="C153" s="21" t="n"/>
      <c r="D153" s="21" t="n"/>
      <c r="E153" s="22" t="n"/>
      <c r="F153" s="23">
        <f>IF(A153="","",DATE(YEAR(A153),MONTH(A153),1))</f>
        <v/>
      </c>
    </row>
    <row r="154">
      <c r="A154" s="20" t="n"/>
      <c r="B154" s="21" t="n"/>
      <c r="C154" s="21" t="n"/>
      <c r="D154" s="21" t="n"/>
      <c r="E154" s="22" t="n"/>
      <c r="F154" s="23">
        <f>IF(A154="","",DATE(YEAR(A154),MONTH(A154),1))</f>
        <v/>
      </c>
    </row>
    <row r="155">
      <c r="A155" s="20" t="n"/>
      <c r="B155" s="21" t="n"/>
      <c r="C155" s="21" t="n"/>
      <c r="D155" s="21" t="n"/>
      <c r="E155" s="22" t="n"/>
      <c r="F155" s="23">
        <f>IF(A155="","",DATE(YEAR(A155),MONTH(A155),1))</f>
        <v/>
      </c>
    </row>
    <row r="156">
      <c r="A156" s="20" t="n"/>
      <c r="B156" s="21" t="n"/>
      <c r="C156" s="21" t="n"/>
      <c r="D156" s="21" t="n"/>
      <c r="E156" s="22" t="n"/>
      <c r="F156" s="23">
        <f>IF(A156="","",DATE(YEAR(A156),MONTH(A156),1))</f>
        <v/>
      </c>
    </row>
    <row r="157">
      <c r="A157" s="20" t="n"/>
      <c r="B157" s="21" t="n"/>
      <c r="C157" s="21" t="n"/>
      <c r="D157" s="21" t="n"/>
      <c r="E157" s="22" t="n"/>
      <c r="F157" s="23">
        <f>IF(A157="","",DATE(YEAR(A157),MONTH(A157),1))</f>
        <v/>
      </c>
    </row>
    <row r="158">
      <c r="A158" s="20" t="n"/>
      <c r="B158" s="21" t="n"/>
      <c r="C158" s="21" t="n"/>
      <c r="D158" s="21" t="n"/>
      <c r="E158" s="22" t="n"/>
      <c r="F158" s="23">
        <f>IF(A158="","",DATE(YEAR(A158),MONTH(A158),1))</f>
        <v/>
      </c>
    </row>
    <row r="159">
      <c r="A159" s="20" t="n"/>
      <c r="B159" s="21" t="n"/>
      <c r="C159" s="21" t="n"/>
      <c r="D159" s="21" t="n"/>
      <c r="E159" s="22" t="n"/>
      <c r="F159" s="23">
        <f>IF(A159="","",DATE(YEAR(A159),MONTH(A159),1))</f>
        <v/>
      </c>
    </row>
    <row r="160">
      <c r="A160" s="20" t="n"/>
      <c r="B160" s="21" t="n"/>
      <c r="C160" s="21" t="n"/>
      <c r="D160" s="21" t="n"/>
      <c r="E160" s="22" t="n"/>
      <c r="F160" s="23">
        <f>IF(A160="","",DATE(YEAR(A160),MONTH(A160),1))</f>
        <v/>
      </c>
    </row>
    <row r="161">
      <c r="A161" s="20" t="n"/>
      <c r="B161" s="21" t="n"/>
      <c r="C161" s="21" t="n"/>
      <c r="D161" s="21" t="n"/>
      <c r="E161" s="22" t="n"/>
      <c r="F161" s="23">
        <f>IF(A161="","",DATE(YEAR(A161),MONTH(A161),1))</f>
        <v/>
      </c>
    </row>
    <row r="162">
      <c r="A162" s="20" t="n"/>
      <c r="B162" s="21" t="n"/>
      <c r="C162" s="21" t="n"/>
      <c r="D162" s="21" t="n"/>
      <c r="E162" s="22" t="n"/>
      <c r="F162" s="23">
        <f>IF(A162="","",DATE(YEAR(A162),MONTH(A162),1))</f>
        <v/>
      </c>
    </row>
    <row r="163">
      <c r="A163" s="20" t="n"/>
      <c r="B163" s="21" t="n"/>
      <c r="C163" s="21" t="n"/>
      <c r="D163" s="21" t="n"/>
      <c r="E163" s="22" t="n"/>
      <c r="F163" s="23">
        <f>IF(A163="","",DATE(YEAR(A163),MONTH(A163),1))</f>
        <v/>
      </c>
    </row>
    <row r="164">
      <c r="A164" s="20" t="n"/>
      <c r="B164" s="21" t="n"/>
      <c r="C164" s="21" t="n"/>
      <c r="D164" s="21" t="n"/>
      <c r="E164" s="22" t="n"/>
      <c r="F164" s="23">
        <f>IF(A164="","",DATE(YEAR(A164),MONTH(A164),1))</f>
        <v/>
      </c>
    </row>
    <row r="165">
      <c r="A165" s="20" t="n"/>
      <c r="B165" s="21" t="n"/>
      <c r="C165" s="21" t="n"/>
      <c r="D165" s="21" t="n"/>
      <c r="E165" s="22" t="n"/>
      <c r="F165" s="23">
        <f>IF(A165="","",DATE(YEAR(A165),MONTH(A165),1))</f>
        <v/>
      </c>
    </row>
    <row r="166">
      <c r="A166" s="20" t="n"/>
      <c r="B166" s="21" t="n"/>
      <c r="C166" s="21" t="n"/>
      <c r="D166" s="21" t="n"/>
      <c r="E166" s="22" t="n"/>
      <c r="F166" s="23">
        <f>IF(A166="","",DATE(YEAR(A166),MONTH(A166),1))</f>
        <v/>
      </c>
    </row>
    <row r="167">
      <c r="A167" s="20" t="n"/>
      <c r="B167" s="21" t="n"/>
      <c r="C167" s="21" t="n"/>
      <c r="D167" s="21" t="n"/>
      <c r="E167" s="22" t="n"/>
      <c r="F167" s="23">
        <f>IF(A167="","",DATE(YEAR(A167),MONTH(A167),1))</f>
        <v/>
      </c>
    </row>
    <row r="168">
      <c r="A168" s="20" t="n"/>
      <c r="B168" s="21" t="n"/>
      <c r="C168" s="21" t="n"/>
      <c r="D168" s="21" t="n"/>
      <c r="E168" s="22" t="n"/>
      <c r="F168" s="23">
        <f>IF(A168="","",DATE(YEAR(A168),MONTH(A168),1))</f>
        <v/>
      </c>
    </row>
    <row r="169">
      <c r="A169" s="20" t="n"/>
      <c r="B169" s="21" t="n"/>
      <c r="C169" s="21" t="n"/>
      <c r="D169" s="21" t="n"/>
      <c r="E169" s="22" t="n"/>
      <c r="F169" s="23">
        <f>IF(A169="","",DATE(YEAR(A169),MONTH(A169),1))</f>
        <v/>
      </c>
    </row>
    <row r="170">
      <c r="A170" s="20" t="n"/>
      <c r="B170" s="21" t="n"/>
      <c r="C170" s="21" t="n"/>
      <c r="D170" s="21" t="n"/>
      <c r="E170" s="22" t="n"/>
      <c r="F170" s="23">
        <f>IF(A170="","",DATE(YEAR(A170),MONTH(A170),1))</f>
        <v/>
      </c>
    </row>
    <row r="171">
      <c r="A171" s="20" t="n"/>
      <c r="B171" s="21" t="n"/>
      <c r="C171" s="21" t="n"/>
      <c r="D171" s="21" t="n"/>
      <c r="E171" s="22" t="n"/>
      <c r="F171" s="23">
        <f>IF(A171="","",DATE(YEAR(A171),MONTH(A171),1))</f>
        <v/>
      </c>
    </row>
    <row r="172">
      <c r="A172" s="20" t="n"/>
      <c r="B172" s="21" t="n"/>
      <c r="C172" s="21" t="n"/>
      <c r="D172" s="21" t="n"/>
      <c r="E172" s="22" t="n"/>
      <c r="F172" s="23">
        <f>IF(A172="","",DATE(YEAR(A172),MONTH(A172),1))</f>
        <v/>
      </c>
    </row>
    <row r="173">
      <c r="A173" s="20" t="n"/>
      <c r="B173" s="21" t="n"/>
      <c r="C173" s="21" t="n"/>
      <c r="D173" s="21" t="n"/>
      <c r="E173" s="22" t="n"/>
      <c r="F173" s="23">
        <f>IF(A173="","",DATE(YEAR(A173),MONTH(A173),1))</f>
        <v/>
      </c>
    </row>
    <row r="174">
      <c r="A174" s="20" t="n"/>
      <c r="B174" s="21" t="n"/>
      <c r="C174" s="21" t="n"/>
      <c r="D174" s="21" t="n"/>
      <c r="E174" s="22" t="n"/>
      <c r="F174" s="23">
        <f>IF(A174="","",DATE(YEAR(A174),MONTH(A174),1))</f>
        <v/>
      </c>
    </row>
    <row r="175">
      <c r="A175" s="20" t="n"/>
      <c r="B175" s="21" t="n"/>
      <c r="C175" s="21" t="n"/>
      <c r="D175" s="21" t="n"/>
      <c r="E175" s="22" t="n"/>
      <c r="F175" s="23">
        <f>IF(A175="","",DATE(YEAR(A175),MONTH(A175),1))</f>
        <v/>
      </c>
    </row>
    <row r="176">
      <c r="A176" s="20" t="n"/>
      <c r="B176" s="21" t="n"/>
      <c r="C176" s="21" t="n"/>
      <c r="D176" s="21" t="n"/>
      <c r="E176" s="22" t="n"/>
      <c r="F176" s="23">
        <f>IF(A176="","",DATE(YEAR(A176),MONTH(A176),1))</f>
        <v/>
      </c>
    </row>
    <row r="177">
      <c r="A177" s="20" t="n"/>
      <c r="B177" s="21" t="n"/>
      <c r="C177" s="21" t="n"/>
      <c r="D177" s="21" t="n"/>
      <c r="E177" s="22" t="n"/>
      <c r="F177" s="23">
        <f>IF(A177="","",DATE(YEAR(A177),MONTH(A177),1))</f>
        <v/>
      </c>
    </row>
    <row r="178">
      <c r="A178" s="20" t="n"/>
      <c r="B178" s="21" t="n"/>
      <c r="C178" s="21" t="n"/>
      <c r="D178" s="21" t="n"/>
      <c r="E178" s="22" t="n"/>
      <c r="F178" s="23">
        <f>IF(A178="","",DATE(YEAR(A178),MONTH(A178),1))</f>
        <v/>
      </c>
    </row>
    <row r="179">
      <c r="A179" s="20" t="n"/>
      <c r="B179" s="21" t="n"/>
      <c r="C179" s="21" t="n"/>
      <c r="D179" s="21" t="n"/>
      <c r="E179" s="22" t="n"/>
      <c r="F179" s="23">
        <f>IF(A179="","",DATE(YEAR(A179),MONTH(A179),1))</f>
        <v/>
      </c>
    </row>
    <row r="180">
      <c r="A180" s="20" t="n"/>
      <c r="B180" s="21" t="n"/>
      <c r="C180" s="21" t="n"/>
      <c r="D180" s="21" t="n"/>
      <c r="E180" s="22" t="n"/>
      <c r="F180" s="23">
        <f>IF(A180="","",DATE(YEAR(A180),MONTH(A180),1))</f>
        <v/>
      </c>
    </row>
    <row r="181">
      <c r="A181" s="20" t="n"/>
      <c r="B181" s="21" t="n"/>
      <c r="C181" s="21" t="n"/>
      <c r="D181" s="21" t="n"/>
      <c r="E181" s="22" t="n"/>
      <c r="F181" s="23">
        <f>IF(A181="","",DATE(YEAR(A181),MONTH(A181),1))</f>
        <v/>
      </c>
    </row>
    <row r="182">
      <c r="A182" s="20" t="n"/>
      <c r="B182" s="21" t="n"/>
      <c r="C182" s="21" t="n"/>
      <c r="D182" s="21" t="n"/>
      <c r="E182" s="22" t="n"/>
      <c r="F182" s="23">
        <f>IF(A182="","",DATE(YEAR(A182),MONTH(A182),1))</f>
        <v/>
      </c>
    </row>
    <row r="183">
      <c r="A183" s="20" t="n"/>
      <c r="B183" s="21" t="n"/>
      <c r="C183" s="21" t="n"/>
      <c r="D183" s="21" t="n"/>
      <c r="E183" s="22" t="n"/>
      <c r="F183" s="23">
        <f>IF(A183="","",DATE(YEAR(A183),MONTH(A183),1))</f>
        <v/>
      </c>
    </row>
    <row r="184">
      <c r="A184" s="20" t="n"/>
      <c r="B184" s="21" t="n"/>
      <c r="C184" s="21" t="n"/>
      <c r="D184" s="21" t="n"/>
      <c r="E184" s="22" t="n"/>
      <c r="F184" s="23">
        <f>IF(A184="","",DATE(YEAR(A184),MONTH(A184),1))</f>
        <v/>
      </c>
    </row>
    <row r="185">
      <c r="A185" s="20" t="n"/>
      <c r="B185" s="21" t="n"/>
      <c r="C185" s="21" t="n"/>
      <c r="D185" s="21" t="n"/>
      <c r="E185" s="22" t="n"/>
      <c r="F185" s="23">
        <f>IF(A185="","",DATE(YEAR(A185),MONTH(A185),1))</f>
        <v/>
      </c>
    </row>
    <row r="186">
      <c r="A186" s="20" t="n"/>
      <c r="B186" s="21" t="n"/>
      <c r="C186" s="21" t="n"/>
      <c r="D186" s="21" t="n"/>
      <c r="E186" s="22" t="n"/>
      <c r="F186" s="23">
        <f>IF(A186="","",DATE(YEAR(A186),MONTH(A186),1))</f>
        <v/>
      </c>
    </row>
    <row r="187">
      <c r="A187" s="20" t="n"/>
      <c r="B187" s="21" t="n"/>
      <c r="C187" s="21" t="n"/>
      <c r="D187" s="21" t="n"/>
      <c r="E187" s="22" t="n"/>
      <c r="F187" s="23">
        <f>IF(A187="","",DATE(YEAR(A187),MONTH(A187),1))</f>
        <v/>
      </c>
    </row>
    <row r="188">
      <c r="A188" s="20" t="n"/>
      <c r="B188" s="21" t="n"/>
      <c r="C188" s="21" t="n"/>
      <c r="D188" s="21" t="n"/>
      <c r="E188" s="22" t="n"/>
      <c r="F188" s="23">
        <f>IF(A188="","",DATE(YEAR(A188),MONTH(A188),1))</f>
        <v/>
      </c>
    </row>
    <row r="189">
      <c r="A189" s="20" t="n"/>
      <c r="B189" s="21" t="n"/>
      <c r="C189" s="21" t="n"/>
      <c r="D189" s="21" t="n"/>
      <c r="E189" s="22" t="n"/>
      <c r="F189" s="23">
        <f>IF(A189="","",DATE(YEAR(A189),MONTH(A189),1))</f>
        <v/>
      </c>
    </row>
    <row r="190">
      <c r="A190" s="20" t="n"/>
      <c r="B190" s="21" t="n"/>
      <c r="C190" s="21" t="n"/>
      <c r="D190" s="21" t="n"/>
      <c r="E190" s="22" t="n"/>
      <c r="F190" s="23">
        <f>IF(A190="","",DATE(YEAR(A190),MONTH(A190),1))</f>
        <v/>
      </c>
    </row>
    <row r="191">
      <c r="A191" s="20" t="n"/>
      <c r="B191" s="21" t="n"/>
      <c r="C191" s="21" t="n"/>
      <c r="D191" s="21" t="n"/>
      <c r="E191" s="22" t="n"/>
      <c r="F191" s="23">
        <f>IF(A191="","",DATE(YEAR(A191),MONTH(A191),1))</f>
        <v/>
      </c>
    </row>
    <row r="192">
      <c r="A192" s="20" t="n"/>
      <c r="B192" s="21" t="n"/>
      <c r="C192" s="21" t="n"/>
      <c r="D192" s="21" t="n"/>
      <c r="E192" s="22" t="n"/>
      <c r="F192" s="23">
        <f>IF(A192="","",DATE(YEAR(A192),MONTH(A192),1))</f>
        <v/>
      </c>
    </row>
    <row r="193">
      <c r="A193" s="20" t="n"/>
      <c r="B193" s="21" t="n"/>
      <c r="C193" s="21" t="n"/>
      <c r="D193" s="21" t="n"/>
      <c r="E193" s="22" t="n"/>
      <c r="F193" s="23">
        <f>IF(A193="","",DATE(YEAR(A193),MONTH(A193),1))</f>
        <v/>
      </c>
    </row>
    <row r="194">
      <c r="A194" s="20" t="n"/>
      <c r="B194" s="21" t="n"/>
      <c r="C194" s="21" t="n"/>
      <c r="D194" s="21" t="n"/>
      <c r="E194" s="22" t="n"/>
      <c r="F194" s="23">
        <f>IF(A194="","",DATE(YEAR(A194),MONTH(A194),1))</f>
        <v/>
      </c>
    </row>
    <row r="195">
      <c r="A195" s="20" t="n"/>
      <c r="B195" s="21" t="n"/>
      <c r="C195" s="21" t="n"/>
      <c r="D195" s="21" t="n"/>
      <c r="E195" s="22" t="n"/>
      <c r="F195" s="23">
        <f>IF(A195="","",DATE(YEAR(A195),MONTH(A195),1))</f>
        <v/>
      </c>
    </row>
    <row r="196">
      <c r="A196" s="20" t="n"/>
      <c r="B196" s="21" t="n"/>
      <c r="C196" s="21" t="n"/>
      <c r="D196" s="21" t="n"/>
      <c r="E196" s="22" t="n"/>
      <c r="F196" s="23">
        <f>IF(A196="","",DATE(YEAR(A196),MONTH(A196),1))</f>
        <v/>
      </c>
    </row>
    <row r="197">
      <c r="A197" s="20" t="n"/>
      <c r="B197" s="21" t="n"/>
      <c r="C197" s="21" t="n"/>
      <c r="D197" s="21" t="n"/>
      <c r="E197" s="22" t="n"/>
      <c r="F197" s="23">
        <f>IF(A197="","",DATE(YEAR(A197),MONTH(A197),1))</f>
        <v/>
      </c>
    </row>
    <row r="198">
      <c r="A198" s="20" t="n"/>
      <c r="B198" s="21" t="n"/>
      <c r="C198" s="21" t="n"/>
      <c r="D198" s="21" t="n"/>
      <c r="E198" s="22" t="n"/>
      <c r="F198" s="23">
        <f>IF(A198="","",DATE(YEAR(A198),MONTH(A198),1))</f>
        <v/>
      </c>
    </row>
    <row r="199">
      <c r="A199" s="20" t="n"/>
      <c r="B199" s="21" t="n"/>
      <c r="C199" s="21" t="n"/>
      <c r="D199" s="21" t="n"/>
      <c r="E199" s="22" t="n"/>
      <c r="F199" s="23">
        <f>IF(A199="","",DATE(YEAR(A199),MONTH(A199),1))</f>
        <v/>
      </c>
    </row>
    <row r="200">
      <c r="A200" s="20" t="n"/>
      <c r="B200" s="21" t="n"/>
      <c r="C200" s="21" t="n"/>
      <c r="D200" s="21" t="n"/>
      <c r="E200" s="22" t="n"/>
      <c r="F200" s="23">
        <f>IF(A200="","",DATE(YEAR(A200),MONTH(A200),1))</f>
        <v/>
      </c>
    </row>
    <row r="201">
      <c r="A201" s="20" t="n"/>
      <c r="B201" s="21" t="n"/>
      <c r="C201" s="21" t="n"/>
      <c r="D201" s="21" t="n"/>
      <c r="E201" s="22" t="n"/>
      <c r="F201" s="23">
        <f>IF(A201="","",DATE(YEAR(A201),MONTH(A201),1))</f>
        <v/>
      </c>
    </row>
    <row r="202">
      <c r="A202" s="20" t="n"/>
      <c r="B202" s="21" t="n"/>
      <c r="C202" s="21" t="n"/>
      <c r="D202" s="21" t="n"/>
      <c r="E202" s="22" t="n"/>
      <c r="F202" s="23">
        <f>IF(A202="","",DATE(YEAR(A202),MONTH(A202),1))</f>
        <v/>
      </c>
    </row>
    <row r="203">
      <c r="A203" s="20" t="n"/>
      <c r="B203" s="21" t="n"/>
      <c r="C203" s="21" t="n"/>
      <c r="D203" s="21" t="n"/>
      <c r="E203" s="22" t="n"/>
      <c r="F203" s="23">
        <f>IF(A203="","",DATE(YEAR(A203),MONTH(A203),1))</f>
        <v/>
      </c>
    </row>
    <row r="204">
      <c r="A204" s="20" t="n"/>
      <c r="B204" s="21" t="n"/>
      <c r="C204" s="21" t="n"/>
      <c r="D204" s="21" t="n"/>
      <c r="E204" s="22" t="n"/>
      <c r="F204" s="23">
        <f>IF(A204="","",DATE(YEAR(A204),MONTH(A204),1))</f>
        <v/>
      </c>
    </row>
    <row r="205">
      <c r="A205" s="20" t="n"/>
      <c r="B205" s="21" t="n"/>
      <c r="C205" s="21" t="n"/>
      <c r="D205" s="21" t="n"/>
      <c r="E205" s="22" t="n"/>
      <c r="F205" s="23">
        <f>IF(A205="","",DATE(YEAR(A205),MONTH(A205),1))</f>
        <v/>
      </c>
    </row>
    <row r="206">
      <c r="A206" s="20" t="n"/>
      <c r="B206" s="21" t="n"/>
      <c r="C206" s="21" t="n"/>
      <c r="D206" s="21" t="n"/>
      <c r="E206" s="22" t="n"/>
      <c r="F206" s="23">
        <f>IF(A206="","",DATE(YEAR(A206),MONTH(A206),1))</f>
        <v/>
      </c>
    </row>
    <row r="207">
      <c r="A207" s="20" t="n"/>
      <c r="B207" s="21" t="n"/>
      <c r="C207" s="21" t="n"/>
      <c r="D207" s="21" t="n"/>
      <c r="E207" s="22" t="n"/>
      <c r="F207" s="23">
        <f>IF(A207="","",DATE(YEAR(A207),MONTH(A207),1))</f>
        <v/>
      </c>
    </row>
    <row r="208">
      <c r="A208" s="20" t="n"/>
      <c r="B208" s="21" t="n"/>
      <c r="C208" s="21" t="n"/>
      <c r="D208" s="21" t="n"/>
      <c r="E208" s="22" t="n"/>
      <c r="F208" s="23">
        <f>IF(A208="","",DATE(YEAR(A208),MONTH(A208),1))</f>
        <v/>
      </c>
    </row>
    <row r="209">
      <c r="A209" s="20" t="n"/>
      <c r="B209" s="21" t="n"/>
      <c r="C209" s="21" t="n"/>
      <c r="D209" s="21" t="n"/>
      <c r="E209" s="22" t="n"/>
      <c r="F209" s="23">
        <f>IF(A209="","",DATE(YEAR(A209),MONTH(A209),1))</f>
        <v/>
      </c>
    </row>
    <row r="210">
      <c r="A210" s="20" t="n"/>
      <c r="B210" s="21" t="n"/>
      <c r="C210" s="21" t="n"/>
      <c r="D210" s="21" t="n"/>
      <c r="E210" s="22" t="n"/>
      <c r="F210" s="23">
        <f>IF(A210="","",DATE(YEAR(A210),MONTH(A210),1))</f>
        <v/>
      </c>
    </row>
    <row r="211">
      <c r="A211" s="20" t="n"/>
      <c r="B211" s="21" t="n"/>
      <c r="C211" s="21" t="n"/>
      <c r="D211" s="21" t="n"/>
      <c r="E211" s="22" t="n"/>
      <c r="F211" s="23">
        <f>IF(A211="","",DATE(YEAR(A211),MONTH(A211),1))</f>
        <v/>
      </c>
    </row>
    <row r="212">
      <c r="A212" s="20" t="n"/>
      <c r="B212" s="21" t="n"/>
      <c r="C212" s="21" t="n"/>
      <c r="D212" s="21" t="n"/>
      <c r="E212" s="22" t="n"/>
      <c r="F212" s="23">
        <f>IF(A212="","",DATE(YEAR(A212),MONTH(A212),1))</f>
        <v/>
      </c>
    </row>
    <row r="213">
      <c r="A213" s="20" t="n"/>
      <c r="B213" s="21" t="n"/>
      <c r="C213" s="21" t="n"/>
      <c r="D213" s="21" t="n"/>
      <c r="E213" s="22" t="n"/>
      <c r="F213" s="23">
        <f>IF(A213="","",DATE(YEAR(A213),MONTH(A213),1))</f>
        <v/>
      </c>
    </row>
    <row r="214">
      <c r="A214" s="20" t="n"/>
      <c r="B214" s="21" t="n"/>
      <c r="C214" s="21" t="n"/>
      <c r="D214" s="21" t="n"/>
      <c r="E214" s="22" t="n"/>
      <c r="F214" s="23">
        <f>IF(A214="","",DATE(YEAR(A214),MONTH(A214),1))</f>
        <v/>
      </c>
    </row>
    <row r="215">
      <c r="A215" s="20" t="n"/>
      <c r="B215" s="21" t="n"/>
      <c r="C215" s="21" t="n"/>
      <c r="D215" s="21" t="n"/>
      <c r="E215" s="22" t="n"/>
      <c r="F215" s="23">
        <f>IF(A215="","",DATE(YEAR(A215),MONTH(A215),1))</f>
        <v/>
      </c>
    </row>
    <row r="216">
      <c r="A216" s="20" t="n"/>
      <c r="B216" s="21" t="n"/>
      <c r="C216" s="21" t="n"/>
      <c r="D216" s="21" t="n"/>
      <c r="E216" s="22" t="n"/>
      <c r="F216" s="23">
        <f>IF(A216="","",DATE(YEAR(A216),MONTH(A216),1))</f>
        <v/>
      </c>
    </row>
    <row r="217">
      <c r="A217" s="20" t="n"/>
      <c r="B217" s="21" t="n"/>
      <c r="C217" s="21" t="n"/>
      <c r="D217" s="21" t="n"/>
      <c r="E217" s="22" t="n"/>
      <c r="F217" s="23">
        <f>IF(A217="","",DATE(YEAR(A217),MONTH(A217),1))</f>
        <v/>
      </c>
    </row>
    <row r="218">
      <c r="A218" s="20" t="n"/>
      <c r="B218" s="21" t="n"/>
      <c r="C218" s="21" t="n"/>
      <c r="D218" s="21" t="n"/>
      <c r="E218" s="22" t="n"/>
      <c r="F218" s="23">
        <f>IF(A218="","",DATE(YEAR(A218),MONTH(A218),1))</f>
        <v/>
      </c>
    </row>
    <row r="219">
      <c r="A219" s="20" t="n"/>
      <c r="B219" s="21" t="n"/>
      <c r="C219" s="21" t="n"/>
      <c r="D219" s="21" t="n"/>
      <c r="E219" s="22" t="n"/>
      <c r="F219" s="23">
        <f>IF(A219="","",DATE(YEAR(A219),MONTH(A219),1))</f>
        <v/>
      </c>
    </row>
    <row r="220">
      <c r="A220" s="20" t="n"/>
      <c r="B220" s="21" t="n"/>
      <c r="C220" s="21" t="n"/>
      <c r="D220" s="21" t="n"/>
      <c r="E220" s="22" t="n"/>
      <c r="F220" s="23">
        <f>IF(A220="","",DATE(YEAR(A220),MONTH(A220),1))</f>
        <v/>
      </c>
    </row>
    <row r="221">
      <c r="A221" s="20" t="n"/>
      <c r="B221" s="21" t="n"/>
      <c r="C221" s="21" t="n"/>
      <c r="D221" s="21" t="n"/>
      <c r="E221" s="22" t="n"/>
      <c r="F221" s="23">
        <f>IF(A221="","",DATE(YEAR(A221),MONTH(A221),1))</f>
        <v/>
      </c>
    </row>
    <row r="222">
      <c r="A222" s="20" t="n"/>
      <c r="B222" s="21" t="n"/>
      <c r="C222" s="21" t="n"/>
      <c r="D222" s="21" t="n"/>
      <c r="E222" s="22" t="n"/>
      <c r="F222" s="23">
        <f>IF(A222="","",DATE(YEAR(A222),MONTH(A222),1))</f>
        <v/>
      </c>
    </row>
    <row r="223">
      <c r="A223" s="20" t="n"/>
      <c r="B223" s="21" t="n"/>
      <c r="C223" s="21" t="n"/>
      <c r="D223" s="21" t="n"/>
      <c r="E223" s="22" t="n"/>
      <c r="F223" s="23">
        <f>IF(A223="","",DATE(YEAR(A223),MONTH(A223),1))</f>
        <v/>
      </c>
    </row>
    <row r="224">
      <c r="A224" s="20" t="n"/>
      <c r="B224" s="21" t="n"/>
      <c r="C224" s="21" t="n"/>
      <c r="D224" s="21" t="n"/>
      <c r="E224" s="22" t="n"/>
      <c r="F224" s="23">
        <f>IF(A224="","",DATE(YEAR(A224),MONTH(A224),1))</f>
        <v/>
      </c>
    </row>
    <row r="225">
      <c r="A225" s="20" t="n"/>
      <c r="B225" s="21" t="n"/>
      <c r="C225" s="21" t="n"/>
      <c r="D225" s="21" t="n"/>
      <c r="E225" s="22" t="n"/>
      <c r="F225" s="23">
        <f>IF(A225="","",DATE(YEAR(A225),MONTH(A225),1))</f>
        <v/>
      </c>
    </row>
    <row r="226">
      <c r="A226" s="20" t="n"/>
      <c r="B226" s="21" t="n"/>
      <c r="C226" s="21" t="n"/>
      <c r="D226" s="21" t="n"/>
      <c r="E226" s="22" t="n"/>
      <c r="F226" s="23">
        <f>IF(A226="","",DATE(YEAR(A226),MONTH(A226),1))</f>
        <v/>
      </c>
    </row>
    <row r="227">
      <c r="A227" s="20" t="n"/>
      <c r="B227" s="21" t="n"/>
      <c r="C227" s="21" t="n"/>
      <c r="D227" s="21" t="n"/>
      <c r="E227" s="22" t="n"/>
      <c r="F227" s="23">
        <f>IF(A227="","",DATE(YEAR(A227),MONTH(A227),1))</f>
        <v/>
      </c>
    </row>
    <row r="228">
      <c r="A228" s="20" t="n"/>
      <c r="B228" s="21" t="n"/>
      <c r="C228" s="21" t="n"/>
      <c r="D228" s="21" t="n"/>
      <c r="E228" s="22" t="n"/>
      <c r="F228" s="23">
        <f>IF(A228="","",DATE(YEAR(A228),MONTH(A228),1))</f>
        <v/>
      </c>
    </row>
    <row r="229">
      <c r="A229" s="20" t="n"/>
      <c r="B229" s="21" t="n"/>
      <c r="C229" s="21" t="n"/>
      <c r="D229" s="21" t="n"/>
      <c r="E229" s="22" t="n"/>
      <c r="F229" s="23">
        <f>IF(A229="","",DATE(YEAR(A229),MONTH(A229),1))</f>
        <v/>
      </c>
    </row>
    <row r="230">
      <c r="A230" s="20" t="n"/>
      <c r="B230" s="21" t="n"/>
      <c r="C230" s="21" t="n"/>
      <c r="D230" s="21" t="n"/>
      <c r="E230" s="22" t="n"/>
      <c r="F230" s="23">
        <f>IF(A230="","",DATE(YEAR(A230),MONTH(A230),1))</f>
        <v/>
      </c>
    </row>
    <row r="231">
      <c r="A231" s="20" t="n"/>
      <c r="B231" s="21" t="n"/>
      <c r="C231" s="21" t="n"/>
      <c r="D231" s="21" t="n"/>
      <c r="E231" s="22" t="n"/>
      <c r="F231" s="23">
        <f>IF(A231="","",DATE(YEAR(A231),MONTH(A231),1))</f>
        <v/>
      </c>
    </row>
    <row r="232">
      <c r="A232" s="20" t="n"/>
      <c r="B232" s="21" t="n"/>
      <c r="C232" s="21" t="n"/>
      <c r="D232" s="21" t="n"/>
      <c r="E232" s="22" t="n"/>
      <c r="F232" s="23">
        <f>IF(A232="","",DATE(YEAR(A232),MONTH(A232),1))</f>
        <v/>
      </c>
    </row>
    <row r="233">
      <c r="A233" s="20" t="n"/>
      <c r="B233" s="21" t="n"/>
      <c r="C233" s="21" t="n"/>
      <c r="D233" s="21" t="n"/>
      <c r="E233" s="22" t="n"/>
      <c r="F233" s="23">
        <f>IF(A233="","",DATE(YEAR(A233),MONTH(A233),1))</f>
        <v/>
      </c>
    </row>
    <row r="234">
      <c r="A234" s="20" t="n"/>
      <c r="B234" s="21" t="n"/>
      <c r="C234" s="21" t="n"/>
      <c r="D234" s="21" t="n"/>
      <c r="E234" s="22" t="n"/>
      <c r="F234" s="23">
        <f>IF(A234="","",DATE(YEAR(A234),MONTH(A234),1))</f>
        <v/>
      </c>
    </row>
    <row r="235">
      <c r="A235" s="20" t="n"/>
      <c r="B235" s="21" t="n"/>
      <c r="C235" s="21" t="n"/>
      <c r="D235" s="21" t="n"/>
      <c r="E235" s="22" t="n"/>
      <c r="F235" s="23">
        <f>IF(A235="","",DATE(YEAR(A235),MONTH(A235),1))</f>
        <v/>
      </c>
    </row>
    <row r="236">
      <c r="A236" s="20" t="n"/>
      <c r="B236" s="21" t="n"/>
      <c r="C236" s="21" t="n"/>
      <c r="D236" s="21" t="n"/>
      <c r="E236" s="22" t="n"/>
      <c r="F236" s="23">
        <f>IF(A236="","",DATE(YEAR(A236),MONTH(A236),1))</f>
        <v/>
      </c>
    </row>
    <row r="237">
      <c r="A237" s="20" t="n"/>
      <c r="B237" s="21" t="n"/>
      <c r="C237" s="21" t="n"/>
      <c r="D237" s="21" t="n"/>
      <c r="E237" s="22" t="n"/>
      <c r="F237" s="23">
        <f>IF(A237="","",DATE(YEAR(A237),MONTH(A237),1))</f>
        <v/>
      </c>
    </row>
    <row r="238">
      <c r="A238" s="20" t="n"/>
      <c r="B238" s="21" t="n"/>
      <c r="C238" s="21" t="n"/>
      <c r="D238" s="21" t="n"/>
      <c r="E238" s="22" t="n"/>
      <c r="F238" s="23">
        <f>IF(A238="","",DATE(YEAR(A238),MONTH(A238),1))</f>
        <v/>
      </c>
    </row>
    <row r="239">
      <c r="A239" s="20" t="n"/>
      <c r="B239" s="21" t="n"/>
      <c r="C239" s="21" t="n"/>
      <c r="D239" s="21" t="n"/>
      <c r="E239" s="22" t="n"/>
      <c r="F239" s="23">
        <f>IF(A239="","",DATE(YEAR(A239),MONTH(A239),1))</f>
        <v/>
      </c>
    </row>
    <row r="240">
      <c r="A240" s="20" t="n"/>
      <c r="B240" s="21" t="n"/>
      <c r="C240" s="21" t="n"/>
      <c r="D240" s="21" t="n"/>
      <c r="E240" s="22" t="n"/>
      <c r="F240" s="23">
        <f>IF(A240="","",DATE(YEAR(A240),MONTH(A240),1))</f>
        <v/>
      </c>
    </row>
    <row r="241">
      <c r="A241" s="20" t="n"/>
      <c r="B241" s="21" t="n"/>
      <c r="C241" s="21" t="n"/>
      <c r="D241" s="21" t="n"/>
      <c r="E241" s="22" t="n"/>
      <c r="F241" s="23">
        <f>IF(A241="","",DATE(YEAR(A241),MONTH(A241),1))</f>
        <v/>
      </c>
    </row>
    <row r="242">
      <c r="A242" s="20" t="n"/>
      <c r="B242" s="21" t="n"/>
      <c r="C242" s="21" t="n"/>
      <c r="D242" s="21" t="n"/>
      <c r="E242" s="22" t="n"/>
      <c r="F242" s="23">
        <f>IF(A242="","",DATE(YEAR(A242),MONTH(A242),1))</f>
        <v/>
      </c>
    </row>
    <row r="243">
      <c r="A243" s="20" t="n"/>
      <c r="B243" s="21" t="n"/>
      <c r="C243" s="21" t="n"/>
      <c r="D243" s="21" t="n"/>
      <c r="E243" s="22" t="n"/>
      <c r="F243" s="23">
        <f>IF(A243="","",DATE(YEAR(A243),MONTH(A243),1))</f>
        <v/>
      </c>
    </row>
    <row r="244">
      <c r="A244" s="20" t="n"/>
      <c r="B244" s="21" t="n"/>
      <c r="C244" s="21" t="n"/>
      <c r="D244" s="21" t="n"/>
      <c r="E244" s="22" t="n"/>
      <c r="F244" s="23">
        <f>IF(A244="","",DATE(YEAR(A244),MONTH(A244),1))</f>
        <v/>
      </c>
    </row>
    <row r="245">
      <c r="A245" s="20" t="n"/>
      <c r="B245" s="21" t="n"/>
      <c r="C245" s="21" t="n"/>
      <c r="D245" s="21" t="n"/>
      <c r="E245" s="22" t="n"/>
      <c r="F245" s="23">
        <f>IF(A245="","",DATE(YEAR(A245),MONTH(A245),1))</f>
        <v/>
      </c>
    </row>
    <row r="246">
      <c r="A246" s="20" t="n"/>
      <c r="B246" s="21" t="n"/>
      <c r="C246" s="21" t="n"/>
      <c r="D246" s="21" t="n"/>
      <c r="E246" s="22" t="n"/>
      <c r="F246" s="23">
        <f>IF(A246="","",DATE(YEAR(A246),MONTH(A246),1))</f>
        <v/>
      </c>
    </row>
    <row r="247">
      <c r="A247" s="20" t="n"/>
      <c r="B247" s="21" t="n"/>
      <c r="C247" s="21" t="n"/>
      <c r="D247" s="21" t="n"/>
      <c r="E247" s="22" t="n"/>
      <c r="F247" s="23">
        <f>IF(A247="","",DATE(YEAR(A247),MONTH(A247),1))</f>
        <v/>
      </c>
    </row>
    <row r="248">
      <c r="A248" s="20" t="n"/>
      <c r="B248" s="21" t="n"/>
      <c r="C248" s="21" t="n"/>
      <c r="D248" s="21" t="n"/>
      <c r="E248" s="22" t="n"/>
      <c r="F248" s="23">
        <f>IF(A248="","",DATE(YEAR(A248),MONTH(A248),1))</f>
        <v/>
      </c>
    </row>
    <row r="249">
      <c r="A249" s="20" t="n"/>
      <c r="B249" s="21" t="n"/>
      <c r="C249" s="21" t="n"/>
      <c r="D249" s="21" t="n"/>
      <c r="E249" s="22" t="n"/>
      <c r="F249" s="23">
        <f>IF(A249="","",DATE(YEAR(A249),MONTH(A249),1))</f>
        <v/>
      </c>
    </row>
    <row r="250">
      <c r="A250" s="20" t="n"/>
      <c r="B250" s="21" t="n"/>
      <c r="C250" s="21" t="n"/>
      <c r="D250" s="21" t="n"/>
      <c r="E250" s="22" t="n"/>
      <c r="F250" s="23">
        <f>IF(A250="","",DATE(YEAR(A250),MONTH(A250),1))</f>
        <v/>
      </c>
    </row>
    <row r="251">
      <c r="A251" s="20" t="n"/>
      <c r="B251" s="21" t="n"/>
      <c r="C251" s="21" t="n"/>
      <c r="D251" s="21" t="n"/>
      <c r="E251" s="22" t="n"/>
      <c r="F251" s="23">
        <f>IF(A251="","",DATE(YEAR(A251),MONTH(A251),1))</f>
        <v/>
      </c>
    </row>
    <row r="252">
      <c r="A252" s="20" t="n"/>
      <c r="B252" s="21" t="n"/>
      <c r="C252" s="21" t="n"/>
      <c r="D252" s="21" t="n"/>
      <c r="E252" s="22" t="n"/>
      <c r="F252" s="23">
        <f>IF(A252="","",DATE(YEAR(A252),MONTH(A252),1))</f>
        <v/>
      </c>
    </row>
    <row r="253">
      <c r="A253" s="20" t="n"/>
      <c r="B253" s="21" t="n"/>
      <c r="C253" s="21" t="n"/>
      <c r="D253" s="21" t="n"/>
      <c r="E253" s="22" t="n"/>
      <c r="F253" s="23">
        <f>IF(A253="","",DATE(YEAR(A253),MONTH(A253),1))</f>
        <v/>
      </c>
    </row>
    <row r="254">
      <c r="A254" s="20" t="n"/>
      <c r="B254" s="21" t="n"/>
      <c r="C254" s="21" t="n"/>
      <c r="D254" s="21" t="n"/>
      <c r="E254" s="22" t="n"/>
      <c r="F254" s="23">
        <f>IF(A254="","",DATE(YEAR(A254),MONTH(A254),1))</f>
        <v/>
      </c>
    </row>
    <row r="255">
      <c r="A255" s="20" t="n"/>
      <c r="B255" s="21" t="n"/>
      <c r="C255" s="21" t="n"/>
      <c r="D255" s="21" t="n"/>
      <c r="E255" s="22" t="n"/>
      <c r="F255" s="23">
        <f>IF(A255="","",DATE(YEAR(A255),MONTH(A255),1))</f>
        <v/>
      </c>
    </row>
    <row r="256">
      <c r="A256" s="20" t="n"/>
      <c r="B256" s="21" t="n"/>
      <c r="C256" s="21" t="n"/>
      <c r="D256" s="21" t="n"/>
      <c r="E256" s="22" t="n"/>
      <c r="F256" s="23">
        <f>IF(A256="","",DATE(YEAR(A256),MONTH(A256),1))</f>
        <v/>
      </c>
    </row>
    <row r="257">
      <c r="A257" s="20" t="n"/>
      <c r="B257" s="21" t="n"/>
      <c r="C257" s="21" t="n"/>
      <c r="D257" s="21" t="n"/>
      <c r="E257" s="22" t="n"/>
      <c r="F257" s="23">
        <f>IF(A257="","",DATE(YEAR(A257),MONTH(A257),1))</f>
        <v/>
      </c>
    </row>
    <row r="258">
      <c r="A258" s="20" t="n"/>
      <c r="B258" s="21" t="n"/>
      <c r="C258" s="21" t="n"/>
      <c r="D258" s="21" t="n"/>
      <c r="E258" s="22" t="n"/>
      <c r="F258" s="23">
        <f>IF(A258="","",DATE(YEAR(A258),MONTH(A258),1))</f>
        <v/>
      </c>
    </row>
    <row r="259">
      <c r="A259" s="20" t="n"/>
      <c r="B259" s="21" t="n"/>
      <c r="C259" s="21" t="n"/>
      <c r="D259" s="21" t="n"/>
      <c r="E259" s="22" t="n"/>
      <c r="F259" s="23">
        <f>IF(A259="","",DATE(YEAR(A259),MONTH(A259),1))</f>
        <v/>
      </c>
    </row>
    <row r="260">
      <c r="A260" s="20" t="n"/>
      <c r="B260" s="21" t="n"/>
      <c r="C260" s="21" t="n"/>
      <c r="D260" s="21" t="n"/>
      <c r="E260" s="22" t="n"/>
      <c r="F260" s="23">
        <f>IF(A260="","",DATE(YEAR(A260),MONTH(A260),1))</f>
        <v/>
      </c>
    </row>
    <row r="261">
      <c r="A261" s="20" t="n"/>
      <c r="B261" s="21" t="n"/>
      <c r="C261" s="21" t="n"/>
      <c r="D261" s="21" t="n"/>
      <c r="E261" s="22" t="n"/>
      <c r="F261" s="23">
        <f>IF(A261="","",DATE(YEAR(A261),MONTH(A261),1))</f>
        <v/>
      </c>
    </row>
    <row r="262">
      <c r="A262" s="20" t="n"/>
      <c r="B262" s="21" t="n"/>
      <c r="C262" s="21" t="n"/>
      <c r="D262" s="21" t="n"/>
      <c r="E262" s="22" t="n"/>
      <c r="F262" s="23">
        <f>IF(A262="","",DATE(YEAR(A262),MONTH(A262),1))</f>
        <v/>
      </c>
    </row>
    <row r="263">
      <c r="A263" s="20" t="n"/>
      <c r="B263" s="21" t="n"/>
      <c r="C263" s="21" t="n"/>
      <c r="D263" s="21" t="n"/>
      <c r="E263" s="22" t="n"/>
      <c r="F263" s="23">
        <f>IF(A263="","",DATE(YEAR(A263),MONTH(A263),1))</f>
        <v/>
      </c>
    </row>
    <row r="264">
      <c r="A264" s="20" t="n"/>
      <c r="B264" s="21" t="n"/>
      <c r="C264" s="21" t="n"/>
      <c r="D264" s="21" t="n"/>
      <c r="E264" s="22" t="n"/>
      <c r="F264" s="23">
        <f>IF(A264="","",DATE(YEAR(A264),MONTH(A264),1))</f>
        <v/>
      </c>
    </row>
    <row r="265">
      <c r="A265" s="20" t="n"/>
      <c r="B265" s="21" t="n"/>
      <c r="C265" s="21" t="n"/>
      <c r="D265" s="21" t="n"/>
      <c r="E265" s="22" t="n"/>
      <c r="F265" s="23">
        <f>IF(A265="","",DATE(YEAR(A265),MONTH(A265),1))</f>
        <v/>
      </c>
    </row>
    <row r="266">
      <c r="A266" s="20" t="n"/>
      <c r="B266" s="21" t="n"/>
      <c r="C266" s="21" t="n"/>
      <c r="D266" s="21" t="n"/>
      <c r="E266" s="22" t="n"/>
      <c r="F266" s="23">
        <f>IF(A266="","",DATE(YEAR(A266),MONTH(A266),1))</f>
        <v/>
      </c>
    </row>
    <row r="267">
      <c r="A267" s="20" t="n"/>
      <c r="B267" s="21" t="n"/>
      <c r="C267" s="21" t="n"/>
      <c r="D267" s="21" t="n"/>
      <c r="E267" s="22" t="n"/>
      <c r="F267" s="23">
        <f>IF(A267="","",DATE(YEAR(A267),MONTH(A267),1))</f>
        <v/>
      </c>
    </row>
    <row r="268">
      <c r="A268" s="20" t="n"/>
      <c r="B268" s="21" t="n"/>
      <c r="C268" s="21" t="n"/>
      <c r="D268" s="21" t="n"/>
      <c r="E268" s="22" t="n"/>
      <c r="F268" s="23">
        <f>IF(A268="","",DATE(YEAR(A268),MONTH(A268),1))</f>
        <v/>
      </c>
    </row>
    <row r="269">
      <c r="A269" s="20" t="n"/>
      <c r="B269" s="21" t="n"/>
      <c r="C269" s="21" t="n"/>
      <c r="D269" s="21" t="n"/>
      <c r="E269" s="22" t="n"/>
      <c r="F269" s="23">
        <f>IF(A269="","",DATE(YEAR(A269),MONTH(A269),1))</f>
        <v/>
      </c>
    </row>
    <row r="270">
      <c r="A270" s="20" t="n"/>
      <c r="B270" s="21" t="n"/>
      <c r="C270" s="21" t="n"/>
      <c r="D270" s="21" t="n"/>
      <c r="E270" s="22" t="n"/>
      <c r="F270" s="23">
        <f>IF(A270="","",DATE(YEAR(A270),MONTH(A270),1))</f>
        <v/>
      </c>
    </row>
    <row r="271">
      <c r="A271" s="20" t="n"/>
      <c r="B271" s="21" t="n"/>
      <c r="C271" s="21" t="n"/>
      <c r="D271" s="21" t="n"/>
      <c r="E271" s="22" t="n"/>
      <c r="F271" s="23">
        <f>IF(A271="","",DATE(YEAR(A271),MONTH(A271),1))</f>
        <v/>
      </c>
    </row>
    <row r="272">
      <c r="A272" s="20" t="n"/>
      <c r="B272" s="21" t="n"/>
      <c r="C272" s="21" t="n"/>
      <c r="D272" s="21" t="n"/>
      <c r="E272" s="22" t="n"/>
      <c r="F272" s="23">
        <f>IF(A272="","",DATE(YEAR(A272),MONTH(A272),1))</f>
        <v/>
      </c>
    </row>
    <row r="273">
      <c r="A273" s="20" t="n"/>
      <c r="B273" s="21" t="n"/>
      <c r="C273" s="21" t="n"/>
      <c r="D273" s="21" t="n"/>
      <c r="E273" s="22" t="n"/>
      <c r="F273" s="23">
        <f>IF(A273="","",DATE(YEAR(A273),MONTH(A273),1))</f>
        <v/>
      </c>
    </row>
    <row r="274">
      <c r="A274" s="20" t="n"/>
      <c r="B274" s="21" t="n"/>
      <c r="C274" s="21" t="n"/>
      <c r="D274" s="21" t="n"/>
      <c r="E274" s="22" t="n"/>
      <c r="F274" s="23">
        <f>IF(A274="","",DATE(YEAR(A274),MONTH(A274),1))</f>
        <v/>
      </c>
    </row>
    <row r="275">
      <c r="A275" s="20" t="n"/>
      <c r="B275" s="21" t="n"/>
      <c r="C275" s="21" t="n"/>
      <c r="D275" s="21" t="n"/>
      <c r="E275" s="22" t="n"/>
      <c r="F275" s="23">
        <f>IF(A275="","",DATE(YEAR(A275),MONTH(A275),1))</f>
        <v/>
      </c>
    </row>
    <row r="276">
      <c r="A276" s="20" t="n"/>
      <c r="B276" s="21" t="n"/>
      <c r="C276" s="21" t="n"/>
      <c r="D276" s="21" t="n"/>
      <c r="E276" s="22" t="n"/>
      <c r="F276" s="23">
        <f>IF(A276="","",DATE(YEAR(A276),MONTH(A276),1))</f>
        <v/>
      </c>
    </row>
    <row r="277">
      <c r="A277" s="20" t="n"/>
      <c r="B277" s="21" t="n"/>
      <c r="C277" s="21" t="n"/>
      <c r="D277" s="21" t="n"/>
      <c r="E277" s="22" t="n"/>
      <c r="F277" s="23">
        <f>IF(A277="","",DATE(YEAR(A277),MONTH(A277),1))</f>
        <v/>
      </c>
    </row>
    <row r="278">
      <c r="A278" s="20" t="n"/>
      <c r="B278" s="21" t="n"/>
      <c r="C278" s="21" t="n"/>
      <c r="D278" s="21" t="n"/>
      <c r="E278" s="22" t="n"/>
      <c r="F278" s="23">
        <f>IF(A278="","",DATE(YEAR(A278),MONTH(A278),1))</f>
        <v/>
      </c>
    </row>
    <row r="279">
      <c r="A279" s="20" t="n"/>
      <c r="B279" s="21" t="n"/>
      <c r="C279" s="21" t="n"/>
      <c r="D279" s="21" t="n"/>
      <c r="E279" s="22" t="n"/>
      <c r="F279" s="23">
        <f>IF(A279="","",DATE(YEAR(A279),MONTH(A279),1))</f>
        <v/>
      </c>
    </row>
    <row r="280">
      <c r="A280" s="20" t="n"/>
      <c r="B280" s="21" t="n"/>
      <c r="C280" s="21" t="n"/>
      <c r="D280" s="21" t="n"/>
      <c r="E280" s="22" t="n"/>
      <c r="F280" s="23">
        <f>IF(A280="","",DATE(YEAR(A280),MONTH(A280),1))</f>
        <v/>
      </c>
    </row>
    <row r="281">
      <c r="A281" s="20" t="n"/>
      <c r="B281" s="21" t="n"/>
      <c r="C281" s="21" t="n"/>
      <c r="D281" s="21" t="n"/>
      <c r="E281" s="22" t="n"/>
      <c r="F281" s="23">
        <f>IF(A281="","",DATE(YEAR(A281),MONTH(A281),1))</f>
        <v/>
      </c>
    </row>
    <row r="282">
      <c r="A282" s="20" t="n"/>
      <c r="B282" s="21" t="n"/>
      <c r="C282" s="21" t="n"/>
      <c r="D282" s="21" t="n"/>
      <c r="E282" s="22" t="n"/>
      <c r="F282" s="23">
        <f>IF(A282="","",DATE(YEAR(A282),MONTH(A282),1))</f>
        <v/>
      </c>
    </row>
    <row r="283">
      <c r="A283" s="20" t="n"/>
      <c r="B283" s="21" t="n"/>
      <c r="C283" s="21" t="n"/>
      <c r="D283" s="21" t="n"/>
      <c r="E283" s="22" t="n"/>
      <c r="F283" s="23">
        <f>IF(A283="","",DATE(YEAR(A283),MONTH(A283),1))</f>
        <v/>
      </c>
    </row>
    <row r="284">
      <c r="A284" s="20" t="n"/>
      <c r="B284" s="21" t="n"/>
      <c r="C284" s="21" t="n"/>
      <c r="D284" s="21" t="n"/>
      <c r="E284" s="22" t="n"/>
      <c r="F284" s="23">
        <f>IF(A284="","",DATE(YEAR(A284),MONTH(A284),1))</f>
        <v/>
      </c>
    </row>
    <row r="285">
      <c r="A285" s="20" t="n"/>
      <c r="B285" s="21" t="n"/>
      <c r="C285" s="21" t="n"/>
      <c r="D285" s="21" t="n"/>
      <c r="E285" s="22" t="n"/>
      <c r="F285" s="23">
        <f>IF(A285="","",DATE(YEAR(A285),MONTH(A285),1))</f>
        <v/>
      </c>
    </row>
    <row r="286">
      <c r="A286" s="20" t="n"/>
      <c r="B286" s="21" t="n"/>
      <c r="C286" s="21" t="n"/>
      <c r="D286" s="21" t="n"/>
      <c r="E286" s="22" t="n"/>
      <c r="F286" s="23">
        <f>IF(A286="","",DATE(YEAR(A286),MONTH(A286),1))</f>
        <v/>
      </c>
    </row>
    <row r="287">
      <c r="A287" s="20" t="n"/>
      <c r="B287" s="21" t="n"/>
      <c r="C287" s="21" t="n"/>
      <c r="D287" s="21" t="n"/>
      <c r="E287" s="22" t="n"/>
      <c r="F287" s="23">
        <f>IF(A287="","",DATE(YEAR(A287),MONTH(A287),1))</f>
        <v/>
      </c>
    </row>
    <row r="288">
      <c r="A288" s="20" t="n"/>
      <c r="B288" s="21" t="n"/>
      <c r="C288" s="21" t="n"/>
      <c r="D288" s="21" t="n"/>
      <c r="E288" s="22" t="n"/>
      <c r="F288" s="23">
        <f>IF(A288="","",DATE(YEAR(A288),MONTH(A288),1))</f>
        <v/>
      </c>
    </row>
    <row r="289">
      <c r="A289" s="20" t="n"/>
      <c r="B289" s="21" t="n"/>
      <c r="C289" s="21" t="n"/>
      <c r="D289" s="21" t="n"/>
      <c r="E289" s="22" t="n"/>
      <c r="F289" s="23">
        <f>IF(A289="","",DATE(YEAR(A289),MONTH(A289),1))</f>
        <v/>
      </c>
    </row>
    <row r="290">
      <c r="A290" s="20" t="n"/>
      <c r="B290" s="21" t="n"/>
      <c r="C290" s="21" t="n"/>
      <c r="D290" s="21" t="n"/>
      <c r="E290" s="22" t="n"/>
      <c r="F290" s="23">
        <f>IF(A290="","",DATE(YEAR(A290),MONTH(A290),1))</f>
        <v/>
      </c>
    </row>
    <row r="291">
      <c r="A291" s="20" t="n"/>
      <c r="B291" s="21" t="n"/>
      <c r="C291" s="21" t="n"/>
      <c r="D291" s="21" t="n"/>
      <c r="E291" s="22" t="n"/>
      <c r="F291" s="23">
        <f>IF(A291="","",DATE(YEAR(A291),MONTH(A291),1))</f>
        <v/>
      </c>
    </row>
    <row r="292">
      <c r="A292" s="20" t="n"/>
      <c r="B292" s="21" t="n"/>
      <c r="C292" s="21" t="n"/>
      <c r="D292" s="21" t="n"/>
      <c r="E292" s="22" t="n"/>
      <c r="F292" s="23">
        <f>IF(A292="","",DATE(YEAR(A292),MONTH(A292),1))</f>
        <v/>
      </c>
    </row>
    <row r="293">
      <c r="A293" s="20" t="n"/>
      <c r="B293" s="21" t="n"/>
      <c r="C293" s="21" t="n"/>
      <c r="D293" s="21" t="n"/>
      <c r="E293" s="22" t="n"/>
      <c r="F293" s="23">
        <f>IF(A293="","",DATE(YEAR(A293),MONTH(A293),1))</f>
        <v/>
      </c>
    </row>
    <row r="294">
      <c r="A294" s="20" t="n"/>
      <c r="B294" s="21" t="n"/>
      <c r="C294" s="21" t="n"/>
      <c r="D294" s="21" t="n"/>
      <c r="E294" s="22" t="n"/>
      <c r="F294" s="23">
        <f>IF(A294="","",DATE(YEAR(A294),MONTH(A294),1))</f>
        <v/>
      </c>
    </row>
    <row r="295">
      <c r="A295" s="20" t="n"/>
      <c r="B295" s="21" t="n"/>
      <c r="C295" s="21" t="n"/>
      <c r="D295" s="21" t="n"/>
      <c r="E295" s="22" t="n"/>
      <c r="F295" s="23">
        <f>IF(A295="","",DATE(YEAR(A295),MONTH(A295),1))</f>
        <v/>
      </c>
    </row>
    <row r="296">
      <c r="A296" s="20" t="n"/>
      <c r="B296" s="21" t="n"/>
      <c r="C296" s="21" t="n"/>
      <c r="D296" s="21" t="n"/>
      <c r="E296" s="22" t="n"/>
      <c r="F296" s="23">
        <f>IF(A296="","",DATE(YEAR(A296),MONTH(A296),1))</f>
        <v/>
      </c>
    </row>
    <row r="297">
      <c r="A297" s="20" t="n"/>
      <c r="B297" s="21" t="n"/>
      <c r="C297" s="21" t="n"/>
      <c r="D297" s="21" t="n"/>
      <c r="E297" s="22" t="n"/>
      <c r="F297" s="23">
        <f>IF(A297="","",DATE(YEAR(A297),MONTH(A297),1))</f>
        <v/>
      </c>
    </row>
    <row r="298">
      <c r="A298" s="20" t="n"/>
      <c r="B298" s="21" t="n"/>
      <c r="C298" s="21" t="n"/>
      <c r="D298" s="21" t="n"/>
      <c r="E298" s="22" t="n"/>
      <c r="F298" s="23">
        <f>IF(A298="","",DATE(YEAR(A298),MONTH(A298),1))</f>
        <v/>
      </c>
    </row>
    <row r="299">
      <c r="A299" s="20" t="n"/>
      <c r="B299" s="21" t="n"/>
      <c r="C299" s="21" t="n"/>
      <c r="D299" s="21" t="n"/>
      <c r="E299" s="22" t="n"/>
      <c r="F299" s="23">
        <f>IF(A299="","",DATE(YEAR(A299),MONTH(A299),1))</f>
        <v/>
      </c>
    </row>
    <row r="300">
      <c r="A300" s="20" t="n"/>
      <c r="B300" s="21" t="n"/>
      <c r="C300" s="21" t="n"/>
      <c r="D300" s="21" t="n"/>
      <c r="E300" s="22" t="n"/>
      <c r="F300" s="23">
        <f>IF(A300="","",DATE(YEAR(A300),MONTH(A300),1))</f>
        <v/>
      </c>
    </row>
    <row r="301">
      <c r="A301" s="20" t="n"/>
      <c r="B301" s="21" t="n"/>
      <c r="C301" s="21" t="n"/>
      <c r="D301" s="21" t="n"/>
      <c r="E301" s="22" t="n"/>
      <c r="F301" s="23">
        <f>IF(A301="","",DATE(YEAR(A301),MONTH(A301),1))</f>
        <v/>
      </c>
    </row>
    <row r="302">
      <c r="A302" s="20" t="n"/>
      <c r="B302" s="21" t="n"/>
      <c r="C302" s="21" t="n"/>
      <c r="D302" s="21" t="n"/>
      <c r="E302" s="22" t="n"/>
      <c r="F302" s="23">
        <f>IF(A302="","",DATE(YEAR(A302),MONTH(A302),1))</f>
        <v/>
      </c>
    </row>
    <row r="303">
      <c r="A303" s="20" t="n"/>
      <c r="B303" s="21" t="n"/>
      <c r="C303" s="21" t="n"/>
      <c r="D303" s="21" t="n"/>
      <c r="E303" s="22" t="n"/>
      <c r="F303" s="23">
        <f>IF(A303="","",DATE(YEAR(A303),MONTH(A303),1))</f>
        <v/>
      </c>
    </row>
    <row r="304">
      <c r="A304" s="20" t="n"/>
      <c r="B304" s="21" t="n"/>
      <c r="C304" s="21" t="n"/>
      <c r="D304" s="21" t="n"/>
      <c r="E304" s="22" t="n"/>
      <c r="F304" s="23">
        <f>IF(A304="","",DATE(YEAR(A304),MONTH(A304),1))</f>
        <v/>
      </c>
    </row>
    <row r="305">
      <c r="A305" s="20" t="n"/>
      <c r="B305" s="21" t="n"/>
      <c r="C305" s="21" t="n"/>
      <c r="D305" s="21" t="n"/>
      <c r="E305" s="22" t="n"/>
      <c r="F305" s="23">
        <f>IF(A305="","",DATE(YEAR(A305),MONTH(A305),1))</f>
        <v/>
      </c>
    </row>
    <row r="306">
      <c r="A306" s="20" t="n"/>
      <c r="B306" s="21" t="n"/>
      <c r="C306" s="21" t="n"/>
      <c r="D306" s="21" t="n"/>
      <c r="E306" s="22" t="n"/>
      <c r="F306" s="23">
        <f>IF(A306="","",DATE(YEAR(A306),MONTH(A306),1))</f>
        <v/>
      </c>
    </row>
    <row r="307">
      <c r="A307" s="20" t="n"/>
      <c r="B307" s="21" t="n"/>
      <c r="C307" s="21" t="n"/>
      <c r="D307" s="21" t="n"/>
      <c r="E307" s="22" t="n"/>
      <c r="F307" s="23">
        <f>IF(A307="","",DATE(YEAR(A307),MONTH(A307),1))</f>
        <v/>
      </c>
    </row>
    <row r="308">
      <c r="A308" s="20" t="n"/>
      <c r="B308" s="21" t="n"/>
      <c r="C308" s="21" t="n"/>
      <c r="D308" s="21" t="n"/>
      <c r="E308" s="22" t="n"/>
      <c r="F308" s="23">
        <f>IF(A308="","",DATE(YEAR(A308),MONTH(A308),1))</f>
        <v/>
      </c>
    </row>
    <row r="309">
      <c r="A309" s="20" t="n"/>
      <c r="B309" s="21" t="n"/>
      <c r="C309" s="21" t="n"/>
      <c r="D309" s="21" t="n"/>
      <c r="E309" s="22" t="n"/>
      <c r="F309" s="23">
        <f>IF(A309="","",DATE(YEAR(A309),MONTH(A309),1))</f>
        <v/>
      </c>
    </row>
    <row r="310">
      <c r="A310" s="20" t="n"/>
      <c r="B310" s="21" t="n"/>
      <c r="C310" s="21" t="n"/>
      <c r="D310" s="21" t="n"/>
      <c r="E310" s="22" t="n"/>
      <c r="F310" s="23">
        <f>IF(A310="","",DATE(YEAR(A310),MONTH(A310),1))</f>
        <v/>
      </c>
    </row>
    <row r="311">
      <c r="A311" s="20" t="n"/>
      <c r="B311" s="21" t="n"/>
      <c r="C311" s="21" t="n"/>
      <c r="D311" s="21" t="n"/>
      <c r="E311" s="22" t="n"/>
      <c r="F311" s="23">
        <f>IF(A311="","",DATE(YEAR(A311),MONTH(A311),1))</f>
        <v/>
      </c>
    </row>
    <row r="312">
      <c r="A312" s="20" t="n"/>
      <c r="B312" s="21" t="n"/>
      <c r="C312" s="21" t="n"/>
      <c r="D312" s="21" t="n"/>
      <c r="E312" s="22" t="n"/>
      <c r="F312" s="23">
        <f>IF(A312="","",DATE(YEAR(A312),MONTH(A312),1))</f>
        <v/>
      </c>
    </row>
    <row r="313">
      <c r="A313" s="20" t="n"/>
      <c r="B313" s="21" t="n"/>
      <c r="C313" s="21" t="n"/>
      <c r="D313" s="21" t="n"/>
      <c r="E313" s="22" t="n"/>
      <c r="F313" s="23">
        <f>IF(A313="","",DATE(YEAR(A313),MONTH(A313),1))</f>
        <v/>
      </c>
    </row>
    <row r="314">
      <c r="A314" s="20" t="n"/>
      <c r="B314" s="21" t="n"/>
      <c r="C314" s="21" t="n"/>
      <c r="D314" s="21" t="n"/>
      <c r="E314" s="22" t="n"/>
      <c r="F314" s="23">
        <f>IF(A314="","",DATE(YEAR(A314),MONTH(A314),1))</f>
        <v/>
      </c>
    </row>
    <row r="315">
      <c r="A315" s="20" t="n"/>
      <c r="B315" s="21" t="n"/>
      <c r="C315" s="21" t="n"/>
      <c r="D315" s="21" t="n"/>
      <c r="E315" s="22" t="n"/>
      <c r="F315" s="23">
        <f>IF(A315="","",DATE(YEAR(A315),MONTH(A315),1))</f>
        <v/>
      </c>
    </row>
    <row r="316">
      <c r="A316" s="20" t="n"/>
      <c r="B316" s="21" t="n"/>
      <c r="C316" s="21" t="n"/>
      <c r="D316" s="21" t="n"/>
      <c r="E316" s="22" t="n"/>
      <c r="F316" s="23">
        <f>IF(A316="","",DATE(YEAR(A316),MONTH(A316),1))</f>
        <v/>
      </c>
    </row>
    <row r="317">
      <c r="A317" s="20" t="n"/>
      <c r="B317" s="21" t="n"/>
      <c r="C317" s="21" t="n"/>
      <c r="D317" s="21" t="n"/>
      <c r="E317" s="22" t="n"/>
      <c r="F317" s="23">
        <f>IF(A317="","",DATE(YEAR(A317),MONTH(A317),1))</f>
        <v/>
      </c>
    </row>
    <row r="318">
      <c r="A318" s="20" t="n"/>
      <c r="B318" s="21" t="n"/>
      <c r="C318" s="21" t="n"/>
      <c r="D318" s="21" t="n"/>
      <c r="E318" s="22" t="n"/>
      <c r="F318" s="23">
        <f>IF(A318="","",DATE(YEAR(A318),MONTH(A318),1))</f>
        <v/>
      </c>
    </row>
    <row r="319">
      <c r="A319" s="20" t="n"/>
      <c r="B319" s="21" t="n"/>
      <c r="C319" s="21" t="n"/>
      <c r="D319" s="21" t="n"/>
      <c r="E319" s="22" t="n"/>
      <c r="F319" s="23">
        <f>IF(A319="","",DATE(YEAR(A319),MONTH(A319),1))</f>
        <v/>
      </c>
    </row>
    <row r="320">
      <c r="A320" s="20" t="n"/>
      <c r="B320" s="21" t="n"/>
      <c r="C320" s="21" t="n"/>
      <c r="D320" s="21" t="n"/>
      <c r="E320" s="22" t="n"/>
      <c r="F320" s="23">
        <f>IF(A320="","",DATE(YEAR(A320),MONTH(A320),1))</f>
        <v/>
      </c>
    </row>
    <row r="321">
      <c r="A321" s="20" t="n"/>
      <c r="B321" s="21" t="n"/>
      <c r="C321" s="21" t="n"/>
      <c r="D321" s="21" t="n"/>
      <c r="E321" s="22" t="n"/>
      <c r="F321" s="23">
        <f>IF(A321="","",DATE(YEAR(A321),MONTH(A321),1))</f>
        <v/>
      </c>
    </row>
    <row r="322">
      <c r="A322" s="20" t="n"/>
      <c r="B322" s="21" t="n"/>
      <c r="C322" s="21" t="n"/>
      <c r="D322" s="21" t="n"/>
      <c r="E322" s="22" t="n"/>
      <c r="F322" s="23">
        <f>IF(A322="","",DATE(YEAR(A322),MONTH(A322),1))</f>
        <v/>
      </c>
    </row>
    <row r="323">
      <c r="A323" s="20" t="n"/>
      <c r="B323" s="21" t="n"/>
      <c r="C323" s="21" t="n"/>
      <c r="D323" s="21" t="n"/>
      <c r="E323" s="22" t="n"/>
      <c r="F323" s="23">
        <f>IF(A323="","",DATE(YEAR(A323),MONTH(A323),1))</f>
        <v/>
      </c>
    </row>
    <row r="324">
      <c r="A324" s="20" t="n"/>
      <c r="B324" s="21" t="n"/>
      <c r="C324" s="21" t="n"/>
      <c r="D324" s="21" t="n"/>
      <c r="E324" s="22" t="n"/>
      <c r="F324" s="23">
        <f>IF(A324="","",DATE(YEAR(A324),MONTH(A324),1))</f>
        <v/>
      </c>
    </row>
    <row r="325">
      <c r="A325" s="20" t="n"/>
      <c r="B325" s="21" t="n"/>
      <c r="C325" s="21" t="n"/>
      <c r="D325" s="21" t="n"/>
      <c r="E325" s="22" t="n"/>
      <c r="F325" s="23">
        <f>IF(A325="","",DATE(YEAR(A325),MONTH(A325),1))</f>
        <v/>
      </c>
    </row>
    <row r="326">
      <c r="A326" s="20" t="n"/>
      <c r="B326" s="21" t="n"/>
      <c r="C326" s="21" t="n"/>
      <c r="D326" s="21" t="n"/>
      <c r="E326" s="22" t="n"/>
      <c r="F326" s="23">
        <f>IF(A326="","",DATE(YEAR(A326),MONTH(A326),1))</f>
        <v/>
      </c>
    </row>
    <row r="327">
      <c r="A327" s="20" t="n"/>
      <c r="B327" s="21" t="n"/>
      <c r="C327" s="21" t="n"/>
      <c r="D327" s="21" t="n"/>
      <c r="E327" s="22" t="n"/>
      <c r="F327" s="23">
        <f>IF(A327="","",DATE(YEAR(A327),MONTH(A327),1))</f>
        <v/>
      </c>
    </row>
    <row r="328">
      <c r="A328" s="20" t="n"/>
      <c r="B328" s="21" t="n"/>
      <c r="C328" s="21" t="n"/>
      <c r="D328" s="21" t="n"/>
      <c r="E328" s="22" t="n"/>
      <c r="F328" s="23">
        <f>IF(A328="","",DATE(YEAR(A328),MONTH(A328),1))</f>
        <v/>
      </c>
    </row>
    <row r="329">
      <c r="A329" s="20" t="n"/>
      <c r="B329" s="21" t="n"/>
      <c r="C329" s="21" t="n"/>
      <c r="D329" s="21" t="n"/>
      <c r="E329" s="22" t="n"/>
      <c r="F329" s="23">
        <f>IF(A329="","",DATE(YEAR(A329),MONTH(A329),1))</f>
        <v/>
      </c>
    </row>
    <row r="330">
      <c r="A330" s="20" t="n"/>
      <c r="B330" s="21" t="n"/>
      <c r="C330" s="21" t="n"/>
      <c r="D330" s="21" t="n"/>
      <c r="E330" s="22" t="n"/>
      <c r="F330" s="23">
        <f>IF(A330="","",DATE(YEAR(A330),MONTH(A330),1))</f>
        <v/>
      </c>
    </row>
    <row r="331">
      <c r="A331" s="20" t="n"/>
      <c r="B331" s="21" t="n"/>
      <c r="C331" s="21" t="n"/>
      <c r="D331" s="21" t="n"/>
      <c r="E331" s="22" t="n"/>
      <c r="F331" s="23">
        <f>IF(A331="","",DATE(YEAR(A331),MONTH(A331),1))</f>
        <v/>
      </c>
    </row>
    <row r="332">
      <c r="A332" s="20" t="n"/>
      <c r="B332" s="21" t="n"/>
      <c r="C332" s="21" t="n"/>
      <c r="D332" s="21" t="n"/>
      <c r="E332" s="22" t="n"/>
      <c r="F332" s="23">
        <f>IF(A332="","",DATE(YEAR(A332),MONTH(A332),1))</f>
        <v/>
      </c>
    </row>
    <row r="333">
      <c r="A333" s="20" t="n"/>
      <c r="B333" s="21" t="n"/>
      <c r="C333" s="21" t="n"/>
      <c r="D333" s="21" t="n"/>
      <c r="E333" s="22" t="n"/>
      <c r="F333" s="23">
        <f>IF(A333="","",DATE(YEAR(A333),MONTH(A333),1))</f>
        <v/>
      </c>
    </row>
    <row r="334">
      <c r="A334" s="20" t="n"/>
      <c r="B334" s="21" t="n"/>
      <c r="C334" s="21" t="n"/>
      <c r="D334" s="21" t="n"/>
      <c r="E334" s="22" t="n"/>
      <c r="F334" s="23">
        <f>IF(A334="","",DATE(YEAR(A334),MONTH(A334),1))</f>
        <v/>
      </c>
    </row>
    <row r="335">
      <c r="A335" s="20" t="n"/>
      <c r="B335" s="21" t="n"/>
      <c r="C335" s="21" t="n"/>
      <c r="D335" s="21" t="n"/>
      <c r="E335" s="22" t="n"/>
      <c r="F335" s="23">
        <f>IF(A335="","",DATE(YEAR(A335),MONTH(A335),1))</f>
        <v/>
      </c>
    </row>
    <row r="336">
      <c r="A336" s="20" t="n"/>
      <c r="B336" s="21" t="n"/>
      <c r="C336" s="21" t="n"/>
      <c r="D336" s="21" t="n"/>
      <c r="E336" s="22" t="n"/>
      <c r="F336" s="23">
        <f>IF(A336="","",DATE(YEAR(A336),MONTH(A336),1))</f>
        <v/>
      </c>
    </row>
    <row r="337">
      <c r="A337" s="20" t="n"/>
      <c r="B337" s="21" t="n"/>
      <c r="C337" s="21" t="n"/>
      <c r="D337" s="21" t="n"/>
      <c r="E337" s="22" t="n"/>
      <c r="F337" s="23">
        <f>IF(A337="","",DATE(YEAR(A337),MONTH(A337),1))</f>
        <v/>
      </c>
    </row>
    <row r="338">
      <c r="A338" s="20" t="n"/>
      <c r="B338" s="21" t="n"/>
      <c r="C338" s="21" t="n"/>
      <c r="D338" s="21" t="n"/>
      <c r="E338" s="22" t="n"/>
      <c r="F338" s="23">
        <f>IF(A338="","",DATE(YEAR(A338),MONTH(A338),1))</f>
        <v/>
      </c>
    </row>
    <row r="339">
      <c r="A339" s="20" t="n"/>
      <c r="B339" s="21" t="n"/>
      <c r="C339" s="21" t="n"/>
      <c r="D339" s="21" t="n"/>
      <c r="E339" s="22" t="n"/>
      <c r="F339" s="23">
        <f>IF(A339="","",DATE(YEAR(A339),MONTH(A339),1))</f>
        <v/>
      </c>
    </row>
    <row r="340">
      <c r="A340" s="20" t="n"/>
      <c r="B340" s="21" t="n"/>
      <c r="C340" s="21" t="n"/>
      <c r="D340" s="21" t="n"/>
      <c r="E340" s="22" t="n"/>
      <c r="F340" s="23">
        <f>IF(A340="","",DATE(YEAR(A340),MONTH(A340),1))</f>
        <v/>
      </c>
    </row>
    <row r="341">
      <c r="A341" s="20" t="n"/>
      <c r="B341" s="21" t="n"/>
      <c r="C341" s="21" t="n"/>
      <c r="D341" s="21" t="n"/>
      <c r="E341" s="22" t="n"/>
      <c r="F341" s="23">
        <f>IF(A341="","",DATE(YEAR(A341),MONTH(A341),1))</f>
        <v/>
      </c>
    </row>
    <row r="342">
      <c r="A342" s="20" t="n"/>
      <c r="B342" s="21" t="n"/>
      <c r="C342" s="21" t="n"/>
      <c r="D342" s="21" t="n"/>
      <c r="E342" s="22" t="n"/>
      <c r="F342" s="23">
        <f>IF(A342="","",DATE(YEAR(A342),MONTH(A342),1))</f>
        <v/>
      </c>
    </row>
    <row r="343">
      <c r="A343" s="20" t="n"/>
      <c r="B343" s="21" t="n"/>
      <c r="C343" s="21" t="n"/>
      <c r="D343" s="21" t="n"/>
      <c r="E343" s="22" t="n"/>
      <c r="F343" s="23">
        <f>IF(A343="","",DATE(YEAR(A343),MONTH(A343),1))</f>
        <v/>
      </c>
    </row>
    <row r="344">
      <c r="A344" s="20" t="n"/>
      <c r="B344" s="21" t="n"/>
      <c r="C344" s="21" t="n"/>
      <c r="D344" s="21" t="n"/>
      <c r="E344" s="22" t="n"/>
      <c r="F344" s="23">
        <f>IF(A344="","",DATE(YEAR(A344),MONTH(A344),1))</f>
        <v/>
      </c>
    </row>
    <row r="345">
      <c r="A345" s="20" t="n"/>
      <c r="B345" s="21" t="n"/>
      <c r="C345" s="21" t="n"/>
      <c r="D345" s="21" t="n"/>
      <c r="E345" s="22" t="n"/>
      <c r="F345" s="23">
        <f>IF(A345="","",DATE(YEAR(A345),MONTH(A345),1))</f>
        <v/>
      </c>
    </row>
    <row r="346">
      <c r="A346" s="20" t="n"/>
      <c r="B346" s="21" t="n"/>
      <c r="C346" s="21" t="n"/>
      <c r="D346" s="21" t="n"/>
      <c r="E346" s="22" t="n"/>
      <c r="F346" s="23">
        <f>IF(A346="","",DATE(YEAR(A346),MONTH(A346),1))</f>
        <v/>
      </c>
    </row>
    <row r="347">
      <c r="A347" s="20" t="n"/>
      <c r="B347" s="21" t="n"/>
      <c r="C347" s="21" t="n"/>
      <c r="D347" s="21" t="n"/>
      <c r="E347" s="22" t="n"/>
      <c r="F347" s="23">
        <f>IF(A347="","",DATE(YEAR(A347),MONTH(A347),1))</f>
        <v/>
      </c>
    </row>
    <row r="348">
      <c r="A348" s="20" t="n"/>
      <c r="B348" s="21" t="n"/>
      <c r="C348" s="21" t="n"/>
      <c r="D348" s="21" t="n"/>
      <c r="E348" s="22" t="n"/>
      <c r="F348" s="23">
        <f>IF(A348="","",DATE(YEAR(A348),MONTH(A348),1))</f>
        <v/>
      </c>
    </row>
    <row r="349">
      <c r="A349" s="20" t="n"/>
      <c r="B349" s="21" t="n"/>
      <c r="C349" s="21" t="n"/>
      <c r="D349" s="21" t="n"/>
      <c r="E349" s="22" t="n"/>
      <c r="F349" s="23">
        <f>IF(A349="","",DATE(YEAR(A349),MONTH(A349),1))</f>
        <v/>
      </c>
    </row>
    <row r="350">
      <c r="A350" s="20" t="n"/>
      <c r="B350" s="21" t="n"/>
      <c r="C350" s="21" t="n"/>
      <c r="D350" s="21" t="n"/>
      <c r="E350" s="22" t="n"/>
      <c r="F350" s="23">
        <f>IF(A350="","",DATE(YEAR(A350),MONTH(A350),1))</f>
        <v/>
      </c>
    </row>
    <row r="351">
      <c r="A351" s="20" t="n"/>
      <c r="B351" s="21" t="n"/>
      <c r="C351" s="21" t="n"/>
      <c r="D351" s="21" t="n"/>
      <c r="E351" s="22" t="n"/>
      <c r="F351" s="23">
        <f>IF(A351="","",DATE(YEAR(A351),MONTH(A351),1))</f>
        <v/>
      </c>
    </row>
    <row r="352">
      <c r="A352" s="20" t="n"/>
      <c r="B352" s="21" t="n"/>
      <c r="C352" s="21" t="n"/>
      <c r="D352" s="21" t="n"/>
      <c r="E352" s="22" t="n"/>
      <c r="F352" s="23">
        <f>IF(A352="","",DATE(YEAR(A352),MONTH(A352),1))</f>
        <v/>
      </c>
    </row>
    <row r="353">
      <c r="A353" s="20" t="n"/>
      <c r="B353" s="21" t="n"/>
      <c r="C353" s="21" t="n"/>
      <c r="D353" s="21" t="n"/>
      <c r="E353" s="22" t="n"/>
      <c r="F353" s="23">
        <f>IF(A353="","",DATE(YEAR(A353),MONTH(A353),1))</f>
        <v/>
      </c>
    </row>
    <row r="354">
      <c r="A354" s="20" t="n"/>
      <c r="B354" s="21" t="n"/>
      <c r="C354" s="21" t="n"/>
      <c r="D354" s="21" t="n"/>
      <c r="E354" s="22" t="n"/>
      <c r="F354" s="23">
        <f>IF(A354="","",DATE(YEAR(A354),MONTH(A354),1))</f>
        <v/>
      </c>
    </row>
    <row r="355">
      <c r="A355" s="20" t="n"/>
      <c r="B355" s="21" t="n"/>
      <c r="C355" s="21" t="n"/>
      <c r="D355" s="21" t="n"/>
      <c r="E355" s="22" t="n"/>
      <c r="F355" s="23">
        <f>IF(A355="","",DATE(YEAR(A355),MONTH(A355),1))</f>
        <v/>
      </c>
    </row>
    <row r="356">
      <c r="A356" s="20" t="n"/>
      <c r="B356" s="21" t="n"/>
      <c r="C356" s="21" t="n"/>
      <c r="D356" s="21" t="n"/>
      <c r="E356" s="22" t="n"/>
      <c r="F356" s="23">
        <f>IF(A356="","",DATE(YEAR(A356),MONTH(A356),1))</f>
        <v/>
      </c>
    </row>
    <row r="357">
      <c r="A357" s="20" t="n"/>
      <c r="B357" s="21" t="n"/>
      <c r="C357" s="21" t="n"/>
      <c r="D357" s="21" t="n"/>
      <c r="E357" s="22" t="n"/>
      <c r="F357" s="23">
        <f>IF(A357="","",DATE(YEAR(A357),MONTH(A357),1))</f>
        <v/>
      </c>
    </row>
    <row r="358">
      <c r="A358" s="20" t="n"/>
      <c r="B358" s="21" t="n"/>
      <c r="C358" s="21" t="n"/>
      <c r="D358" s="21" t="n"/>
      <c r="E358" s="22" t="n"/>
      <c r="F358" s="23">
        <f>IF(A358="","",DATE(YEAR(A358),MONTH(A358),1))</f>
        <v/>
      </c>
    </row>
    <row r="359">
      <c r="A359" s="20" t="n"/>
      <c r="B359" s="21" t="n"/>
      <c r="C359" s="21" t="n"/>
      <c r="D359" s="21" t="n"/>
      <c r="E359" s="22" t="n"/>
      <c r="F359" s="23">
        <f>IF(A359="","",DATE(YEAR(A359),MONTH(A359),1))</f>
        <v/>
      </c>
    </row>
    <row r="360">
      <c r="A360" s="20" t="n"/>
      <c r="B360" s="21" t="n"/>
      <c r="C360" s="21" t="n"/>
      <c r="D360" s="21" t="n"/>
      <c r="E360" s="22" t="n"/>
      <c r="F360" s="23">
        <f>IF(A360="","",DATE(YEAR(A360),MONTH(A360),1))</f>
        <v/>
      </c>
    </row>
    <row r="361">
      <c r="A361" s="20" t="n"/>
      <c r="B361" s="21" t="n"/>
      <c r="C361" s="21" t="n"/>
      <c r="D361" s="21" t="n"/>
      <c r="E361" s="22" t="n"/>
      <c r="F361" s="23">
        <f>IF(A361="","",DATE(YEAR(A361),MONTH(A361),1))</f>
        <v/>
      </c>
    </row>
    <row r="362">
      <c r="A362" s="20" t="n"/>
      <c r="B362" s="21" t="n"/>
      <c r="C362" s="21" t="n"/>
      <c r="D362" s="21" t="n"/>
      <c r="E362" s="22" t="n"/>
      <c r="F362" s="23">
        <f>IF(A362="","",DATE(YEAR(A362),MONTH(A362),1))</f>
        <v/>
      </c>
    </row>
    <row r="363">
      <c r="A363" s="20" t="n"/>
      <c r="B363" s="21" t="n"/>
      <c r="C363" s="21" t="n"/>
      <c r="D363" s="21" t="n"/>
      <c r="E363" s="22" t="n"/>
      <c r="F363" s="23">
        <f>IF(A363="","",DATE(YEAR(A363),MONTH(A363),1))</f>
        <v/>
      </c>
    </row>
    <row r="364">
      <c r="A364" s="20" t="n"/>
      <c r="B364" s="21" t="n"/>
      <c r="C364" s="21" t="n"/>
      <c r="D364" s="21" t="n"/>
      <c r="E364" s="22" t="n"/>
      <c r="F364" s="23">
        <f>IF(A364="","",DATE(YEAR(A364),MONTH(A364),1))</f>
        <v/>
      </c>
    </row>
    <row r="365">
      <c r="A365" s="20" t="n"/>
      <c r="B365" s="21" t="n"/>
      <c r="C365" s="21" t="n"/>
      <c r="D365" s="21" t="n"/>
      <c r="E365" s="22" t="n"/>
      <c r="F365" s="23">
        <f>IF(A365="","",DATE(YEAR(A365),MONTH(A365),1))</f>
        <v/>
      </c>
    </row>
    <row r="366">
      <c r="A366" s="20" t="n"/>
      <c r="B366" s="21" t="n"/>
      <c r="C366" s="21" t="n"/>
      <c r="D366" s="21" t="n"/>
      <c r="E366" s="22" t="n"/>
      <c r="F366" s="23">
        <f>IF(A366="","",DATE(YEAR(A366),MONTH(A366),1))</f>
        <v/>
      </c>
    </row>
    <row r="367">
      <c r="A367" s="20" t="n"/>
      <c r="B367" s="21" t="n"/>
      <c r="C367" s="21" t="n"/>
      <c r="D367" s="21" t="n"/>
      <c r="E367" s="22" t="n"/>
      <c r="F367" s="23">
        <f>IF(A367="","",DATE(YEAR(A367),MONTH(A367),1))</f>
        <v/>
      </c>
    </row>
    <row r="368">
      <c r="A368" s="20" t="n"/>
      <c r="B368" s="21" t="n"/>
      <c r="C368" s="21" t="n"/>
      <c r="D368" s="21" t="n"/>
      <c r="E368" s="22" t="n"/>
      <c r="F368" s="23">
        <f>IF(A368="","",DATE(YEAR(A368),MONTH(A368),1))</f>
        <v/>
      </c>
    </row>
    <row r="369">
      <c r="A369" s="20" t="n"/>
      <c r="B369" s="21" t="n"/>
      <c r="C369" s="21" t="n"/>
      <c r="D369" s="21" t="n"/>
      <c r="E369" s="22" t="n"/>
      <c r="F369" s="23">
        <f>IF(A369="","",DATE(YEAR(A369),MONTH(A369),1))</f>
        <v/>
      </c>
    </row>
    <row r="370">
      <c r="A370" s="20" t="n"/>
      <c r="B370" s="21" t="n"/>
      <c r="C370" s="21" t="n"/>
      <c r="D370" s="21" t="n"/>
      <c r="E370" s="22" t="n"/>
      <c r="F370" s="23">
        <f>IF(A370="","",DATE(YEAR(A370),MONTH(A370),1))</f>
        <v/>
      </c>
    </row>
    <row r="371">
      <c r="A371" s="20" t="n"/>
      <c r="B371" s="21" t="n"/>
      <c r="C371" s="21" t="n"/>
      <c r="D371" s="21" t="n"/>
      <c r="E371" s="22" t="n"/>
      <c r="F371" s="23">
        <f>IF(A371="","",DATE(YEAR(A371),MONTH(A371),1))</f>
        <v/>
      </c>
    </row>
    <row r="372">
      <c r="A372" s="20" t="n"/>
      <c r="B372" s="21" t="n"/>
      <c r="C372" s="21" t="n"/>
      <c r="D372" s="21" t="n"/>
      <c r="E372" s="22" t="n"/>
      <c r="F372" s="23">
        <f>IF(A372="","",DATE(YEAR(A372),MONTH(A372),1))</f>
        <v/>
      </c>
    </row>
    <row r="373">
      <c r="A373" s="20" t="n"/>
      <c r="B373" s="21" t="n"/>
      <c r="C373" s="21" t="n"/>
      <c r="D373" s="21" t="n"/>
      <c r="E373" s="22" t="n"/>
      <c r="F373" s="23">
        <f>IF(A373="","",DATE(YEAR(A373),MONTH(A373),1))</f>
        <v/>
      </c>
    </row>
    <row r="374">
      <c r="A374" s="20" t="n"/>
      <c r="B374" s="21" t="n"/>
      <c r="C374" s="21" t="n"/>
      <c r="D374" s="21" t="n"/>
      <c r="E374" s="22" t="n"/>
      <c r="F374" s="23">
        <f>IF(A374="","",DATE(YEAR(A374),MONTH(A374),1))</f>
        <v/>
      </c>
    </row>
    <row r="375">
      <c r="A375" s="20" t="n"/>
      <c r="B375" s="21" t="n"/>
      <c r="C375" s="21" t="n"/>
      <c r="D375" s="21" t="n"/>
      <c r="E375" s="22" t="n"/>
      <c r="F375" s="23">
        <f>IF(A375="","",DATE(YEAR(A375),MONTH(A375),1))</f>
        <v/>
      </c>
    </row>
    <row r="376">
      <c r="A376" s="20" t="n"/>
      <c r="B376" s="21" t="n"/>
      <c r="C376" s="21" t="n"/>
      <c r="D376" s="21" t="n"/>
      <c r="E376" s="22" t="n"/>
      <c r="F376" s="23">
        <f>IF(A376="","",DATE(YEAR(A376),MONTH(A376),1))</f>
        <v/>
      </c>
    </row>
    <row r="377">
      <c r="A377" s="20" t="n"/>
      <c r="B377" s="21" t="n"/>
      <c r="C377" s="21" t="n"/>
      <c r="D377" s="21" t="n"/>
      <c r="E377" s="22" t="n"/>
      <c r="F377" s="23">
        <f>IF(A377="","",DATE(YEAR(A377),MONTH(A377),1))</f>
        <v/>
      </c>
    </row>
    <row r="378">
      <c r="A378" s="20" t="n"/>
      <c r="B378" s="21" t="n"/>
      <c r="C378" s="21" t="n"/>
      <c r="D378" s="21" t="n"/>
      <c r="E378" s="22" t="n"/>
      <c r="F378" s="23">
        <f>IF(A378="","",DATE(YEAR(A378),MONTH(A378),1))</f>
        <v/>
      </c>
    </row>
    <row r="379">
      <c r="A379" s="20" t="n"/>
      <c r="B379" s="21" t="n"/>
      <c r="C379" s="21" t="n"/>
      <c r="D379" s="21" t="n"/>
      <c r="E379" s="22" t="n"/>
      <c r="F379" s="23">
        <f>IF(A379="","",DATE(YEAR(A379),MONTH(A379),1))</f>
        <v/>
      </c>
    </row>
    <row r="380">
      <c r="A380" s="20" t="n"/>
      <c r="B380" s="21" t="n"/>
      <c r="C380" s="21" t="n"/>
      <c r="D380" s="21" t="n"/>
      <c r="E380" s="22" t="n"/>
      <c r="F380" s="23">
        <f>IF(A380="","",DATE(YEAR(A380),MONTH(A380),1))</f>
        <v/>
      </c>
    </row>
    <row r="381">
      <c r="A381" s="20" t="n"/>
      <c r="B381" s="21" t="n"/>
      <c r="C381" s="21" t="n"/>
      <c r="D381" s="21" t="n"/>
      <c r="E381" s="22" t="n"/>
      <c r="F381" s="23">
        <f>IF(A381="","",DATE(YEAR(A381),MONTH(A381),1))</f>
        <v/>
      </c>
    </row>
    <row r="382">
      <c r="A382" s="20" t="n"/>
      <c r="B382" s="21" t="n"/>
      <c r="C382" s="21" t="n"/>
      <c r="D382" s="21" t="n"/>
      <c r="E382" s="22" t="n"/>
      <c r="F382" s="23">
        <f>IF(A382="","",DATE(YEAR(A382),MONTH(A382),1))</f>
        <v/>
      </c>
    </row>
    <row r="383">
      <c r="A383" s="20" t="n"/>
      <c r="B383" s="21" t="n"/>
      <c r="C383" s="21" t="n"/>
      <c r="D383" s="21" t="n"/>
      <c r="E383" s="22" t="n"/>
      <c r="F383" s="23">
        <f>IF(A383="","",DATE(YEAR(A383),MONTH(A383),1))</f>
        <v/>
      </c>
    </row>
    <row r="384">
      <c r="A384" s="20" t="n"/>
      <c r="B384" s="21" t="n"/>
      <c r="C384" s="21" t="n"/>
      <c r="D384" s="21" t="n"/>
      <c r="E384" s="22" t="n"/>
      <c r="F384" s="23">
        <f>IF(A384="","",DATE(YEAR(A384),MONTH(A384),1))</f>
        <v/>
      </c>
    </row>
    <row r="385">
      <c r="A385" s="20" t="n"/>
      <c r="B385" s="21" t="n"/>
      <c r="C385" s="21" t="n"/>
      <c r="D385" s="21" t="n"/>
      <c r="E385" s="22" t="n"/>
      <c r="F385" s="23">
        <f>IF(A385="","",DATE(YEAR(A385),MONTH(A385),1))</f>
        <v/>
      </c>
    </row>
    <row r="386">
      <c r="A386" s="20" t="n"/>
      <c r="B386" s="21" t="n"/>
      <c r="C386" s="21" t="n"/>
      <c r="D386" s="21" t="n"/>
      <c r="E386" s="22" t="n"/>
      <c r="F386" s="23">
        <f>IF(A386="","",DATE(YEAR(A386),MONTH(A386),1))</f>
        <v/>
      </c>
    </row>
    <row r="387">
      <c r="A387" s="20" t="n"/>
      <c r="B387" s="21" t="n"/>
      <c r="C387" s="21" t="n"/>
      <c r="D387" s="21" t="n"/>
      <c r="E387" s="22" t="n"/>
      <c r="F387" s="23">
        <f>IF(A387="","",DATE(YEAR(A387),MONTH(A387),1))</f>
        <v/>
      </c>
    </row>
    <row r="388">
      <c r="A388" s="20" t="n"/>
      <c r="B388" s="21" t="n"/>
      <c r="C388" s="21" t="n"/>
      <c r="D388" s="21" t="n"/>
      <c r="E388" s="22" t="n"/>
      <c r="F388" s="23">
        <f>IF(A388="","",DATE(YEAR(A388),MONTH(A388),1))</f>
        <v/>
      </c>
    </row>
    <row r="389">
      <c r="A389" s="20" t="n"/>
      <c r="B389" s="21" t="n"/>
      <c r="C389" s="21" t="n"/>
      <c r="D389" s="21" t="n"/>
      <c r="E389" s="22" t="n"/>
      <c r="F389" s="23">
        <f>IF(A389="","",DATE(YEAR(A389),MONTH(A389),1))</f>
        <v/>
      </c>
    </row>
    <row r="390">
      <c r="A390" s="20" t="n"/>
      <c r="B390" s="21" t="n"/>
      <c r="C390" s="21" t="n"/>
      <c r="D390" s="21" t="n"/>
      <c r="E390" s="22" t="n"/>
      <c r="F390" s="23">
        <f>IF(A390="","",DATE(YEAR(A390),MONTH(A390),1))</f>
        <v/>
      </c>
    </row>
    <row r="391">
      <c r="A391" s="20" t="n"/>
      <c r="B391" s="21" t="n"/>
      <c r="C391" s="21" t="n"/>
      <c r="D391" s="21" t="n"/>
      <c r="E391" s="22" t="n"/>
      <c r="F391" s="23">
        <f>IF(A391="","",DATE(YEAR(A391),MONTH(A391),1))</f>
        <v/>
      </c>
    </row>
    <row r="392">
      <c r="A392" s="20" t="n"/>
      <c r="B392" s="21" t="n"/>
      <c r="C392" s="21" t="n"/>
      <c r="D392" s="21" t="n"/>
      <c r="E392" s="22" t="n"/>
      <c r="F392" s="23">
        <f>IF(A392="","",DATE(YEAR(A392),MONTH(A392),1))</f>
        <v/>
      </c>
    </row>
    <row r="393">
      <c r="A393" s="20" t="n"/>
      <c r="B393" s="21" t="n"/>
      <c r="C393" s="21" t="n"/>
      <c r="D393" s="21" t="n"/>
      <c r="E393" s="22" t="n"/>
      <c r="F393" s="23">
        <f>IF(A393="","",DATE(YEAR(A393),MONTH(A393),1))</f>
        <v/>
      </c>
    </row>
    <row r="394">
      <c r="A394" s="20" t="n"/>
      <c r="B394" s="21" t="n"/>
      <c r="C394" s="21" t="n"/>
      <c r="D394" s="21" t="n"/>
      <c r="E394" s="22" t="n"/>
      <c r="F394" s="23">
        <f>IF(A394="","",DATE(YEAR(A394),MONTH(A394),1))</f>
        <v/>
      </c>
    </row>
    <row r="395">
      <c r="A395" s="20" t="n"/>
      <c r="B395" s="21" t="n"/>
      <c r="C395" s="21" t="n"/>
      <c r="D395" s="21" t="n"/>
      <c r="E395" s="22" t="n"/>
      <c r="F395" s="23">
        <f>IF(A395="","",DATE(YEAR(A395),MONTH(A395),1))</f>
        <v/>
      </c>
    </row>
    <row r="396">
      <c r="A396" s="20" t="n"/>
      <c r="B396" s="21" t="n"/>
      <c r="C396" s="21" t="n"/>
      <c r="D396" s="21" t="n"/>
      <c r="E396" s="22" t="n"/>
      <c r="F396" s="23">
        <f>IF(A396="","",DATE(YEAR(A396),MONTH(A396),1))</f>
        <v/>
      </c>
    </row>
    <row r="397">
      <c r="A397" s="20" t="n"/>
      <c r="B397" s="21" t="n"/>
      <c r="C397" s="21" t="n"/>
      <c r="D397" s="21" t="n"/>
      <c r="E397" s="22" t="n"/>
      <c r="F397" s="23">
        <f>IF(A397="","",DATE(YEAR(A397),MONTH(A397),1))</f>
        <v/>
      </c>
    </row>
    <row r="398">
      <c r="A398" s="20" t="n"/>
      <c r="B398" s="21" t="n"/>
      <c r="C398" s="21" t="n"/>
      <c r="D398" s="21" t="n"/>
      <c r="E398" s="22" t="n"/>
      <c r="F398" s="23">
        <f>IF(A398="","",DATE(YEAR(A398),MONTH(A398),1))</f>
        <v/>
      </c>
    </row>
    <row r="399">
      <c r="A399" s="20" t="n"/>
      <c r="B399" s="21" t="n"/>
      <c r="C399" s="21" t="n"/>
      <c r="D399" s="21" t="n"/>
      <c r="E399" s="22" t="n"/>
      <c r="F399" s="23">
        <f>IF(A399="","",DATE(YEAR(A399),MONTH(A399),1))</f>
        <v/>
      </c>
    </row>
    <row r="400">
      <c r="A400" s="20" t="n"/>
      <c r="B400" s="21" t="n"/>
      <c r="C400" s="21" t="n"/>
      <c r="D400" s="21" t="n"/>
      <c r="E400" s="22" t="n"/>
      <c r="F400" s="23">
        <f>IF(A400="","",DATE(YEAR(A400),MONTH(A400),1))</f>
        <v/>
      </c>
    </row>
    <row r="401">
      <c r="A401" s="20" t="n"/>
      <c r="B401" s="21" t="n"/>
      <c r="C401" s="21" t="n"/>
      <c r="D401" s="21" t="n"/>
      <c r="E401" s="22" t="n"/>
      <c r="F401" s="23">
        <f>IF(A401="","",DATE(YEAR(A401),MONTH(A401),1))</f>
        <v/>
      </c>
    </row>
    <row r="402">
      <c r="A402" s="20" t="n"/>
      <c r="B402" s="21" t="n"/>
      <c r="C402" s="21" t="n"/>
      <c r="D402" s="21" t="n"/>
      <c r="E402" s="22" t="n"/>
      <c r="F402" s="23">
        <f>IF(A402="","",DATE(YEAR(A402),MONTH(A402),1))</f>
        <v/>
      </c>
    </row>
    <row r="403">
      <c r="A403" s="20" t="n"/>
      <c r="B403" s="21" t="n"/>
      <c r="C403" s="21" t="n"/>
      <c r="D403" s="21" t="n"/>
      <c r="E403" s="22" t="n"/>
      <c r="F403" s="23">
        <f>IF(A403="","",DATE(YEAR(A403),MONTH(A403),1))</f>
        <v/>
      </c>
    </row>
    <row r="404">
      <c r="A404" s="20" t="n"/>
      <c r="B404" s="21" t="n"/>
      <c r="C404" s="21" t="n"/>
      <c r="D404" s="21" t="n"/>
      <c r="E404" s="22" t="n"/>
      <c r="F404" s="23">
        <f>IF(A404="","",DATE(YEAR(A404),MONTH(A404),1))</f>
        <v/>
      </c>
    </row>
    <row r="405">
      <c r="A405" s="20" t="n"/>
      <c r="B405" s="21" t="n"/>
      <c r="C405" s="21" t="n"/>
      <c r="D405" s="21" t="n"/>
      <c r="E405" s="22" t="n"/>
      <c r="F405" s="23">
        <f>IF(A405="","",DATE(YEAR(A405),MONTH(A405),1))</f>
        <v/>
      </c>
    </row>
    <row r="406">
      <c r="A406" s="20" t="n"/>
      <c r="B406" s="21" t="n"/>
      <c r="C406" s="21" t="n"/>
      <c r="D406" s="21" t="n"/>
      <c r="E406" s="22" t="n"/>
      <c r="F406" s="23">
        <f>IF(A406="","",DATE(YEAR(A406),MONTH(A406),1))</f>
        <v/>
      </c>
    </row>
    <row r="407">
      <c r="A407" s="20" t="n"/>
      <c r="B407" s="21" t="n"/>
      <c r="C407" s="21" t="n"/>
      <c r="D407" s="21" t="n"/>
      <c r="E407" s="22" t="n"/>
      <c r="F407" s="23">
        <f>IF(A407="","",DATE(YEAR(A407),MONTH(A407),1))</f>
        <v/>
      </c>
    </row>
    <row r="408">
      <c r="A408" s="20" t="n"/>
      <c r="B408" s="21" t="n"/>
      <c r="C408" s="21" t="n"/>
      <c r="D408" s="21" t="n"/>
      <c r="E408" s="22" t="n"/>
      <c r="F408" s="23">
        <f>IF(A408="","",DATE(YEAR(A408),MONTH(A408),1))</f>
        <v/>
      </c>
    </row>
    <row r="409">
      <c r="A409" s="20" t="n"/>
      <c r="B409" s="21" t="n"/>
      <c r="C409" s="21" t="n"/>
      <c r="D409" s="21" t="n"/>
      <c r="E409" s="22" t="n"/>
      <c r="F409" s="23">
        <f>IF(A409="","",DATE(YEAR(A409),MONTH(A409),1))</f>
        <v/>
      </c>
    </row>
    <row r="410">
      <c r="A410" s="20" t="n"/>
      <c r="B410" s="21" t="n"/>
      <c r="C410" s="21" t="n"/>
      <c r="D410" s="21" t="n"/>
      <c r="E410" s="22" t="n"/>
      <c r="F410" s="23">
        <f>IF(A410="","",DATE(YEAR(A410),MONTH(A410),1))</f>
        <v/>
      </c>
    </row>
    <row r="411">
      <c r="A411" s="20" t="n"/>
      <c r="B411" s="21" t="n"/>
      <c r="C411" s="21" t="n"/>
      <c r="D411" s="21" t="n"/>
      <c r="E411" s="22" t="n"/>
      <c r="F411" s="23">
        <f>IF(A411="","",DATE(YEAR(A411),MONTH(A411),1))</f>
        <v/>
      </c>
    </row>
    <row r="412">
      <c r="A412" s="20" t="n"/>
      <c r="B412" s="21" t="n"/>
      <c r="C412" s="21" t="n"/>
      <c r="D412" s="21" t="n"/>
      <c r="E412" s="22" t="n"/>
      <c r="F412" s="23">
        <f>IF(A412="","",DATE(YEAR(A412),MONTH(A412),1))</f>
        <v/>
      </c>
    </row>
    <row r="413">
      <c r="A413" s="20" t="n"/>
      <c r="B413" s="21" t="n"/>
      <c r="C413" s="21" t="n"/>
      <c r="D413" s="21" t="n"/>
      <c r="E413" s="22" t="n"/>
      <c r="F413" s="23">
        <f>IF(A413="","",DATE(YEAR(A413),MONTH(A413),1))</f>
        <v/>
      </c>
    </row>
    <row r="414">
      <c r="A414" s="20" t="n"/>
      <c r="B414" s="21" t="n"/>
      <c r="C414" s="21" t="n"/>
      <c r="D414" s="21" t="n"/>
      <c r="E414" s="22" t="n"/>
      <c r="F414" s="23">
        <f>IF(A414="","",DATE(YEAR(A414),MONTH(A414),1))</f>
        <v/>
      </c>
    </row>
    <row r="415">
      <c r="A415" s="20" t="n"/>
      <c r="B415" s="21" t="n"/>
      <c r="C415" s="21" t="n"/>
      <c r="D415" s="21" t="n"/>
      <c r="E415" s="22" t="n"/>
      <c r="F415" s="23">
        <f>IF(A415="","",DATE(YEAR(A415),MONTH(A415),1))</f>
        <v/>
      </c>
    </row>
    <row r="416">
      <c r="A416" s="20" t="n"/>
      <c r="B416" s="21" t="n"/>
      <c r="C416" s="21" t="n"/>
      <c r="D416" s="21" t="n"/>
      <c r="E416" s="22" t="n"/>
      <c r="F416" s="23">
        <f>IF(A416="","",DATE(YEAR(A416),MONTH(A416),1))</f>
        <v/>
      </c>
    </row>
    <row r="417">
      <c r="A417" s="20" t="n"/>
      <c r="B417" s="21" t="n"/>
      <c r="C417" s="21" t="n"/>
      <c r="D417" s="21" t="n"/>
      <c r="E417" s="22" t="n"/>
      <c r="F417" s="23">
        <f>IF(A417="","",DATE(YEAR(A417),MONTH(A417),1))</f>
        <v/>
      </c>
    </row>
    <row r="418">
      <c r="A418" s="20" t="n"/>
      <c r="B418" s="21" t="n"/>
      <c r="C418" s="21" t="n"/>
      <c r="D418" s="21" t="n"/>
      <c r="E418" s="22" t="n"/>
      <c r="F418" s="23">
        <f>IF(A418="","",DATE(YEAR(A418),MONTH(A418),1))</f>
        <v/>
      </c>
    </row>
    <row r="419">
      <c r="A419" s="20" t="n"/>
      <c r="B419" s="21" t="n"/>
      <c r="C419" s="21" t="n"/>
      <c r="D419" s="21" t="n"/>
      <c r="E419" s="22" t="n"/>
      <c r="F419" s="23">
        <f>IF(A419="","",DATE(YEAR(A419),MONTH(A419),1))</f>
        <v/>
      </c>
    </row>
    <row r="420">
      <c r="A420" s="20" t="n"/>
      <c r="B420" s="21" t="n"/>
      <c r="C420" s="21" t="n"/>
      <c r="D420" s="21" t="n"/>
      <c r="E420" s="22" t="n"/>
      <c r="F420" s="23">
        <f>IF(A420="","",DATE(YEAR(A420),MONTH(A420),1))</f>
        <v/>
      </c>
    </row>
    <row r="421">
      <c r="A421" s="20" t="n"/>
      <c r="B421" s="21" t="n"/>
      <c r="C421" s="21" t="n"/>
      <c r="D421" s="21" t="n"/>
      <c r="E421" s="22" t="n"/>
      <c r="F421" s="23">
        <f>IF(A421="","",DATE(YEAR(A421),MONTH(A421),1))</f>
        <v/>
      </c>
    </row>
    <row r="422">
      <c r="A422" s="20" t="n"/>
      <c r="B422" s="21" t="n"/>
      <c r="C422" s="21" t="n"/>
      <c r="D422" s="21" t="n"/>
      <c r="E422" s="22" t="n"/>
      <c r="F422" s="23">
        <f>IF(A422="","",DATE(YEAR(A422),MONTH(A422),1))</f>
        <v/>
      </c>
    </row>
    <row r="423">
      <c r="A423" s="20" t="n"/>
      <c r="B423" s="21" t="n"/>
      <c r="C423" s="21" t="n"/>
      <c r="D423" s="21" t="n"/>
      <c r="E423" s="22" t="n"/>
      <c r="F423" s="23">
        <f>IF(A423="","",DATE(YEAR(A423),MONTH(A423),1))</f>
        <v/>
      </c>
    </row>
    <row r="424">
      <c r="A424" s="20" t="n"/>
      <c r="B424" s="21" t="n"/>
      <c r="C424" s="21" t="n"/>
      <c r="D424" s="21" t="n"/>
      <c r="E424" s="22" t="n"/>
      <c r="F424" s="23">
        <f>IF(A424="","",DATE(YEAR(A424),MONTH(A424),1))</f>
        <v/>
      </c>
    </row>
    <row r="425">
      <c r="A425" s="20" t="n"/>
      <c r="B425" s="21" t="n"/>
      <c r="C425" s="21" t="n"/>
      <c r="D425" s="21" t="n"/>
      <c r="E425" s="22" t="n"/>
      <c r="F425" s="23">
        <f>IF(A425="","",DATE(YEAR(A425),MONTH(A425),1))</f>
        <v/>
      </c>
    </row>
    <row r="426">
      <c r="A426" s="20" t="n"/>
      <c r="B426" s="21" t="n"/>
      <c r="C426" s="21" t="n"/>
      <c r="D426" s="21" t="n"/>
      <c r="E426" s="22" t="n"/>
      <c r="F426" s="23">
        <f>IF(A426="","",DATE(YEAR(A426),MONTH(A426),1))</f>
        <v/>
      </c>
    </row>
    <row r="427">
      <c r="A427" s="20" t="n"/>
      <c r="B427" s="21" t="n"/>
      <c r="C427" s="21" t="n"/>
      <c r="D427" s="21" t="n"/>
      <c r="E427" s="22" t="n"/>
      <c r="F427" s="23">
        <f>IF(A427="","",DATE(YEAR(A427),MONTH(A427),1))</f>
        <v/>
      </c>
    </row>
    <row r="428">
      <c r="A428" s="20" t="n"/>
      <c r="B428" s="21" t="n"/>
      <c r="C428" s="21" t="n"/>
      <c r="D428" s="21" t="n"/>
      <c r="E428" s="22" t="n"/>
      <c r="F428" s="23">
        <f>IF(A428="","",DATE(YEAR(A428),MONTH(A428),1))</f>
        <v/>
      </c>
    </row>
    <row r="429">
      <c r="A429" s="20" t="n"/>
      <c r="B429" s="21" t="n"/>
      <c r="C429" s="21" t="n"/>
      <c r="D429" s="21" t="n"/>
      <c r="E429" s="22" t="n"/>
      <c r="F429" s="23">
        <f>IF(A429="","",DATE(YEAR(A429),MONTH(A429),1))</f>
        <v/>
      </c>
    </row>
    <row r="430">
      <c r="A430" s="20" t="n"/>
      <c r="B430" s="21" t="n"/>
      <c r="C430" s="21" t="n"/>
      <c r="D430" s="21" t="n"/>
      <c r="E430" s="22" t="n"/>
      <c r="F430" s="23">
        <f>IF(A430="","",DATE(YEAR(A430),MONTH(A430),1))</f>
        <v/>
      </c>
    </row>
    <row r="431">
      <c r="A431" s="20" t="n"/>
      <c r="B431" s="21" t="n"/>
      <c r="C431" s="21" t="n"/>
      <c r="D431" s="21" t="n"/>
      <c r="E431" s="22" t="n"/>
      <c r="F431" s="23">
        <f>IF(A431="","",DATE(YEAR(A431),MONTH(A431),1))</f>
        <v/>
      </c>
    </row>
    <row r="432">
      <c r="A432" s="20" t="n"/>
      <c r="B432" s="21" t="n"/>
      <c r="C432" s="21" t="n"/>
      <c r="D432" s="21" t="n"/>
      <c r="E432" s="22" t="n"/>
      <c r="F432" s="23">
        <f>IF(A432="","",DATE(YEAR(A432),MONTH(A432),1))</f>
        <v/>
      </c>
    </row>
    <row r="433">
      <c r="A433" s="20" t="n"/>
      <c r="B433" s="21" t="n"/>
      <c r="C433" s="21" t="n"/>
      <c r="D433" s="21" t="n"/>
      <c r="E433" s="22" t="n"/>
      <c r="F433" s="23">
        <f>IF(A433="","",DATE(YEAR(A433),MONTH(A433),1))</f>
        <v/>
      </c>
    </row>
    <row r="434">
      <c r="A434" s="20" t="n"/>
      <c r="B434" s="21" t="n"/>
      <c r="C434" s="21" t="n"/>
      <c r="D434" s="21" t="n"/>
      <c r="E434" s="22" t="n"/>
      <c r="F434" s="23">
        <f>IF(A434="","",DATE(YEAR(A434),MONTH(A434),1))</f>
        <v/>
      </c>
    </row>
    <row r="435">
      <c r="A435" s="20" t="n"/>
      <c r="B435" s="21" t="n"/>
      <c r="C435" s="21" t="n"/>
      <c r="D435" s="21" t="n"/>
      <c r="E435" s="22" t="n"/>
      <c r="F435" s="23">
        <f>IF(A435="","",DATE(YEAR(A435),MONTH(A435),1))</f>
        <v/>
      </c>
    </row>
    <row r="436">
      <c r="A436" s="20" t="n"/>
      <c r="B436" s="21" t="n"/>
      <c r="C436" s="21" t="n"/>
      <c r="D436" s="21" t="n"/>
      <c r="E436" s="22" t="n"/>
      <c r="F436" s="23">
        <f>IF(A436="","",DATE(YEAR(A436),MONTH(A436),1))</f>
        <v/>
      </c>
    </row>
    <row r="437">
      <c r="A437" s="20" t="n"/>
      <c r="B437" s="21" t="n"/>
      <c r="C437" s="21" t="n"/>
      <c r="D437" s="21" t="n"/>
      <c r="E437" s="22" t="n"/>
      <c r="F437" s="23">
        <f>IF(A437="","",DATE(YEAR(A437),MONTH(A437),1))</f>
        <v/>
      </c>
    </row>
    <row r="438">
      <c r="A438" s="20" t="n"/>
      <c r="B438" s="21" t="n"/>
      <c r="C438" s="21" t="n"/>
      <c r="D438" s="21" t="n"/>
      <c r="E438" s="22" t="n"/>
      <c r="F438" s="23">
        <f>IF(A438="","",DATE(YEAR(A438),MONTH(A438),1))</f>
        <v/>
      </c>
    </row>
    <row r="439">
      <c r="A439" s="20" t="n"/>
      <c r="B439" s="21" t="n"/>
      <c r="C439" s="21" t="n"/>
      <c r="D439" s="21" t="n"/>
      <c r="E439" s="22" t="n"/>
      <c r="F439" s="23">
        <f>IF(A439="","",DATE(YEAR(A439),MONTH(A439),1))</f>
        <v/>
      </c>
    </row>
    <row r="440">
      <c r="A440" s="20" t="n"/>
      <c r="B440" s="21" t="n"/>
      <c r="C440" s="21" t="n"/>
      <c r="D440" s="21" t="n"/>
      <c r="E440" s="22" t="n"/>
      <c r="F440" s="23">
        <f>IF(A440="","",DATE(YEAR(A440),MONTH(A440),1))</f>
        <v/>
      </c>
    </row>
    <row r="441">
      <c r="A441" s="20" t="n"/>
      <c r="B441" s="21" t="n"/>
      <c r="C441" s="21" t="n"/>
      <c r="D441" s="21" t="n"/>
      <c r="E441" s="22" t="n"/>
      <c r="F441" s="23">
        <f>IF(A441="","",DATE(YEAR(A441),MONTH(A441),1))</f>
        <v/>
      </c>
    </row>
    <row r="442">
      <c r="A442" s="20" t="n"/>
      <c r="B442" s="21" t="n"/>
      <c r="C442" s="21" t="n"/>
      <c r="D442" s="21" t="n"/>
      <c r="E442" s="22" t="n"/>
      <c r="F442" s="23">
        <f>IF(A442="","",DATE(YEAR(A442),MONTH(A442),1))</f>
        <v/>
      </c>
    </row>
    <row r="443">
      <c r="A443" s="20" t="n"/>
      <c r="B443" s="21" t="n"/>
      <c r="C443" s="21" t="n"/>
      <c r="D443" s="21" t="n"/>
      <c r="E443" s="22" t="n"/>
      <c r="F443" s="23">
        <f>IF(A443="","",DATE(YEAR(A443),MONTH(A443),1))</f>
        <v/>
      </c>
    </row>
    <row r="444">
      <c r="A444" s="20" t="n"/>
      <c r="B444" s="21" t="n"/>
      <c r="C444" s="21" t="n"/>
      <c r="D444" s="21" t="n"/>
      <c r="E444" s="22" t="n"/>
      <c r="F444" s="23">
        <f>IF(A444="","",DATE(YEAR(A444),MONTH(A444),1))</f>
        <v/>
      </c>
    </row>
    <row r="445">
      <c r="A445" s="20" t="n"/>
      <c r="B445" s="21" t="n"/>
      <c r="C445" s="21" t="n"/>
      <c r="D445" s="21" t="n"/>
      <c r="E445" s="22" t="n"/>
      <c r="F445" s="23">
        <f>IF(A445="","",DATE(YEAR(A445),MONTH(A445),1))</f>
        <v/>
      </c>
    </row>
    <row r="446">
      <c r="A446" s="20" t="n"/>
      <c r="B446" s="21" t="n"/>
      <c r="C446" s="21" t="n"/>
      <c r="D446" s="21" t="n"/>
      <c r="E446" s="22" t="n"/>
      <c r="F446" s="23">
        <f>IF(A446="","",DATE(YEAR(A446),MONTH(A446),1))</f>
        <v/>
      </c>
    </row>
    <row r="447">
      <c r="A447" s="20" t="n"/>
      <c r="B447" s="21" t="n"/>
      <c r="C447" s="21" t="n"/>
      <c r="D447" s="21" t="n"/>
      <c r="E447" s="22" t="n"/>
      <c r="F447" s="23">
        <f>IF(A447="","",DATE(YEAR(A447),MONTH(A447),1))</f>
        <v/>
      </c>
    </row>
    <row r="448">
      <c r="A448" s="20" t="n"/>
      <c r="B448" s="21" t="n"/>
      <c r="C448" s="21" t="n"/>
      <c r="D448" s="21" t="n"/>
      <c r="E448" s="22" t="n"/>
      <c r="F448" s="23">
        <f>IF(A448="","",DATE(YEAR(A448),MONTH(A448),1))</f>
        <v/>
      </c>
    </row>
    <row r="449">
      <c r="A449" s="20" t="n"/>
      <c r="B449" s="21" t="n"/>
      <c r="C449" s="21" t="n"/>
      <c r="D449" s="21" t="n"/>
      <c r="E449" s="22" t="n"/>
      <c r="F449" s="23">
        <f>IF(A449="","",DATE(YEAR(A449),MONTH(A449),1))</f>
        <v/>
      </c>
    </row>
    <row r="450">
      <c r="A450" s="20" t="n"/>
      <c r="B450" s="21" t="n"/>
      <c r="C450" s="21" t="n"/>
      <c r="D450" s="21" t="n"/>
      <c r="E450" s="22" t="n"/>
      <c r="F450" s="23">
        <f>IF(A450="","",DATE(YEAR(A450),MONTH(A450),1))</f>
        <v/>
      </c>
    </row>
    <row r="451">
      <c r="A451" s="20" t="n"/>
      <c r="B451" s="21" t="n"/>
      <c r="C451" s="21" t="n"/>
      <c r="D451" s="21" t="n"/>
      <c r="E451" s="22" t="n"/>
      <c r="F451" s="23">
        <f>IF(A451="","",DATE(YEAR(A451),MONTH(A451),1))</f>
        <v/>
      </c>
    </row>
    <row r="452">
      <c r="A452" s="20" t="n"/>
      <c r="B452" s="21" t="n"/>
      <c r="C452" s="21" t="n"/>
      <c r="D452" s="21" t="n"/>
      <c r="E452" s="22" t="n"/>
      <c r="F452" s="23">
        <f>IF(A452="","",DATE(YEAR(A452),MONTH(A452),1))</f>
        <v/>
      </c>
    </row>
    <row r="453">
      <c r="A453" s="20" t="n"/>
      <c r="B453" s="21" t="n"/>
      <c r="C453" s="21" t="n"/>
      <c r="D453" s="21" t="n"/>
      <c r="E453" s="22" t="n"/>
      <c r="F453" s="23">
        <f>IF(A453="","",DATE(YEAR(A453),MONTH(A453),1))</f>
        <v/>
      </c>
    </row>
    <row r="454">
      <c r="A454" s="20" t="n"/>
      <c r="B454" s="21" t="n"/>
      <c r="C454" s="21" t="n"/>
      <c r="D454" s="21" t="n"/>
      <c r="E454" s="22" t="n"/>
      <c r="F454" s="23">
        <f>IF(A454="","",DATE(YEAR(A454),MONTH(A454),1))</f>
        <v/>
      </c>
    </row>
    <row r="455">
      <c r="A455" s="20" t="n"/>
      <c r="B455" s="21" t="n"/>
      <c r="C455" s="21" t="n"/>
      <c r="D455" s="21" t="n"/>
      <c r="E455" s="22" t="n"/>
      <c r="F455" s="23">
        <f>IF(A455="","",DATE(YEAR(A455),MONTH(A455),1))</f>
        <v/>
      </c>
    </row>
    <row r="456">
      <c r="A456" s="20" t="n"/>
      <c r="B456" s="21" t="n"/>
      <c r="C456" s="21" t="n"/>
      <c r="D456" s="21" t="n"/>
      <c r="E456" s="22" t="n"/>
      <c r="F456" s="23">
        <f>IF(A456="","",DATE(YEAR(A456),MONTH(A456),1))</f>
        <v/>
      </c>
    </row>
    <row r="457">
      <c r="A457" s="20" t="n"/>
      <c r="B457" s="21" t="n"/>
      <c r="C457" s="21" t="n"/>
      <c r="D457" s="21" t="n"/>
      <c r="E457" s="22" t="n"/>
      <c r="F457" s="23">
        <f>IF(A457="","",DATE(YEAR(A457),MONTH(A457),1))</f>
        <v/>
      </c>
    </row>
    <row r="458">
      <c r="A458" s="20" t="n"/>
      <c r="B458" s="21" t="n"/>
      <c r="C458" s="21" t="n"/>
      <c r="D458" s="21" t="n"/>
      <c r="E458" s="22" t="n"/>
      <c r="F458" s="23">
        <f>IF(A458="","",DATE(YEAR(A458),MONTH(A458),1))</f>
        <v/>
      </c>
    </row>
    <row r="459">
      <c r="A459" s="20" t="n"/>
      <c r="B459" s="21" t="n"/>
      <c r="C459" s="21" t="n"/>
      <c r="D459" s="21" t="n"/>
      <c r="E459" s="22" t="n"/>
      <c r="F459" s="23">
        <f>IF(A459="","",DATE(YEAR(A459),MONTH(A459),1))</f>
        <v/>
      </c>
    </row>
    <row r="460">
      <c r="A460" s="20" t="n"/>
      <c r="B460" s="21" t="n"/>
      <c r="C460" s="21" t="n"/>
      <c r="D460" s="21" t="n"/>
      <c r="E460" s="22" t="n"/>
      <c r="F460" s="23">
        <f>IF(A460="","",DATE(YEAR(A460),MONTH(A460),1))</f>
        <v/>
      </c>
    </row>
    <row r="461">
      <c r="A461" s="20" t="n"/>
      <c r="B461" s="21" t="n"/>
      <c r="C461" s="21" t="n"/>
      <c r="D461" s="21" t="n"/>
      <c r="E461" s="22" t="n"/>
      <c r="F461" s="23">
        <f>IF(A461="","",DATE(YEAR(A461),MONTH(A461),1))</f>
        <v/>
      </c>
    </row>
    <row r="462">
      <c r="A462" s="20" t="n"/>
      <c r="B462" s="21" t="n"/>
      <c r="C462" s="21" t="n"/>
      <c r="D462" s="21" t="n"/>
      <c r="E462" s="22" t="n"/>
      <c r="F462" s="23">
        <f>IF(A462="","",DATE(YEAR(A462),MONTH(A462),1))</f>
        <v/>
      </c>
    </row>
    <row r="463">
      <c r="A463" s="20" t="n"/>
      <c r="B463" s="21" t="n"/>
      <c r="C463" s="21" t="n"/>
      <c r="D463" s="21" t="n"/>
      <c r="E463" s="22" t="n"/>
      <c r="F463" s="23">
        <f>IF(A463="","",DATE(YEAR(A463),MONTH(A463),1))</f>
        <v/>
      </c>
    </row>
    <row r="464">
      <c r="A464" s="20" t="n"/>
      <c r="B464" s="21" t="n"/>
      <c r="C464" s="21" t="n"/>
      <c r="D464" s="21" t="n"/>
      <c r="E464" s="22" t="n"/>
      <c r="F464" s="23">
        <f>IF(A464="","",DATE(YEAR(A464),MONTH(A464),1))</f>
        <v/>
      </c>
    </row>
    <row r="465">
      <c r="A465" s="20" t="n"/>
      <c r="B465" s="21" t="n"/>
      <c r="C465" s="21" t="n"/>
      <c r="D465" s="21" t="n"/>
      <c r="E465" s="22" t="n"/>
      <c r="F465" s="23">
        <f>IF(A465="","",DATE(YEAR(A465),MONTH(A465),1))</f>
        <v/>
      </c>
    </row>
    <row r="466">
      <c r="A466" s="20" t="n"/>
      <c r="B466" s="21" t="n"/>
      <c r="C466" s="21" t="n"/>
      <c r="D466" s="21" t="n"/>
      <c r="E466" s="22" t="n"/>
      <c r="F466" s="23">
        <f>IF(A466="","",DATE(YEAR(A466),MONTH(A466),1))</f>
        <v/>
      </c>
    </row>
    <row r="467">
      <c r="A467" s="20" t="n"/>
      <c r="B467" s="21" t="n"/>
      <c r="C467" s="21" t="n"/>
      <c r="D467" s="21" t="n"/>
      <c r="E467" s="22" t="n"/>
      <c r="F467" s="23">
        <f>IF(A467="","",DATE(YEAR(A467),MONTH(A467),1))</f>
        <v/>
      </c>
    </row>
    <row r="468">
      <c r="A468" s="20" t="n"/>
      <c r="B468" s="21" t="n"/>
      <c r="C468" s="21" t="n"/>
      <c r="D468" s="21" t="n"/>
      <c r="E468" s="22" t="n"/>
      <c r="F468" s="23">
        <f>IF(A468="","",DATE(YEAR(A468),MONTH(A468),1))</f>
        <v/>
      </c>
    </row>
    <row r="469">
      <c r="A469" s="20" t="n"/>
      <c r="B469" s="21" t="n"/>
      <c r="C469" s="21" t="n"/>
      <c r="D469" s="21" t="n"/>
      <c r="E469" s="22" t="n"/>
      <c r="F469" s="23">
        <f>IF(A469="","",DATE(YEAR(A469),MONTH(A469),1))</f>
        <v/>
      </c>
    </row>
    <row r="470">
      <c r="A470" s="20" t="n"/>
      <c r="B470" s="21" t="n"/>
      <c r="C470" s="21" t="n"/>
      <c r="D470" s="21" t="n"/>
      <c r="E470" s="22" t="n"/>
      <c r="F470" s="23">
        <f>IF(A470="","",DATE(YEAR(A470),MONTH(A470),1))</f>
        <v/>
      </c>
    </row>
    <row r="471">
      <c r="A471" s="20" t="n"/>
      <c r="B471" s="21" t="n"/>
      <c r="C471" s="21" t="n"/>
      <c r="D471" s="21" t="n"/>
      <c r="E471" s="22" t="n"/>
      <c r="F471" s="23">
        <f>IF(A471="","",DATE(YEAR(A471),MONTH(A471),1))</f>
        <v/>
      </c>
    </row>
    <row r="472">
      <c r="A472" s="20" t="n"/>
      <c r="B472" s="21" t="n"/>
      <c r="C472" s="21" t="n"/>
      <c r="D472" s="21" t="n"/>
      <c r="E472" s="22" t="n"/>
      <c r="F472" s="23">
        <f>IF(A472="","",DATE(YEAR(A472),MONTH(A472),1))</f>
        <v/>
      </c>
    </row>
    <row r="473">
      <c r="A473" s="20" t="n"/>
      <c r="B473" s="21" t="n"/>
      <c r="C473" s="21" t="n"/>
      <c r="D473" s="21" t="n"/>
      <c r="E473" s="22" t="n"/>
      <c r="F473" s="23">
        <f>IF(A473="","",DATE(YEAR(A473),MONTH(A473),1))</f>
        <v/>
      </c>
    </row>
    <row r="474">
      <c r="A474" s="20" t="n"/>
      <c r="B474" s="21" t="n"/>
      <c r="C474" s="21" t="n"/>
      <c r="D474" s="21" t="n"/>
      <c r="E474" s="22" t="n"/>
      <c r="F474" s="23">
        <f>IF(A474="","",DATE(YEAR(A474),MONTH(A474),1))</f>
        <v/>
      </c>
    </row>
    <row r="475">
      <c r="A475" s="20" t="n"/>
      <c r="B475" s="21" t="n"/>
      <c r="C475" s="21" t="n"/>
      <c r="D475" s="21" t="n"/>
      <c r="E475" s="22" t="n"/>
      <c r="F475" s="23">
        <f>IF(A475="","",DATE(YEAR(A475),MONTH(A475),1))</f>
        <v/>
      </c>
    </row>
    <row r="476">
      <c r="A476" s="20" t="n"/>
      <c r="B476" s="21" t="n"/>
      <c r="C476" s="21" t="n"/>
      <c r="D476" s="21" t="n"/>
      <c r="E476" s="22" t="n"/>
      <c r="F476" s="23">
        <f>IF(A476="","",DATE(YEAR(A476),MONTH(A476),1))</f>
        <v/>
      </c>
    </row>
    <row r="477">
      <c r="A477" s="20" t="n"/>
      <c r="B477" s="21" t="n"/>
      <c r="C477" s="21" t="n"/>
      <c r="D477" s="21" t="n"/>
      <c r="E477" s="22" t="n"/>
      <c r="F477" s="23">
        <f>IF(A477="","",DATE(YEAR(A477),MONTH(A477),1))</f>
        <v/>
      </c>
    </row>
    <row r="478">
      <c r="A478" s="20" t="n"/>
      <c r="B478" s="21" t="n"/>
      <c r="C478" s="21" t="n"/>
      <c r="D478" s="21" t="n"/>
      <c r="E478" s="22" t="n"/>
      <c r="F478" s="23">
        <f>IF(A478="","",DATE(YEAR(A478),MONTH(A478),1))</f>
        <v/>
      </c>
    </row>
    <row r="479">
      <c r="A479" s="20" t="n"/>
      <c r="B479" s="21" t="n"/>
      <c r="C479" s="21" t="n"/>
      <c r="D479" s="21" t="n"/>
      <c r="E479" s="22" t="n"/>
      <c r="F479" s="23">
        <f>IF(A479="","",DATE(YEAR(A479),MONTH(A479),1))</f>
        <v/>
      </c>
    </row>
    <row r="480">
      <c r="A480" s="20" t="n"/>
      <c r="B480" s="21" t="n"/>
      <c r="C480" s="21" t="n"/>
      <c r="D480" s="21" t="n"/>
      <c r="E480" s="22" t="n"/>
      <c r="F480" s="23">
        <f>IF(A480="","",DATE(YEAR(A480),MONTH(A480),1))</f>
        <v/>
      </c>
    </row>
    <row r="481">
      <c r="A481" s="20" t="n"/>
      <c r="B481" s="21" t="n"/>
      <c r="C481" s="21" t="n"/>
      <c r="D481" s="21" t="n"/>
      <c r="E481" s="22" t="n"/>
      <c r="F481" s="23">
        <f>IF(A481="","",DATE(YEAR(A481),MONTH(A481),1))</f>
        <v/>
      </c>
    </row>
    <row r="482">
      <c r="A482" s="20" t="n"/>
      <c r="B482" s="21" t="n"/>
      <c r="C482" s="21" t="n"/>
      <c r="D482" s="21" t="n"/>
      <c r="E482" s="22" t="n"/>
      <c r="F482" s="23">
        <f>IF(A482="","",DATE(YEAR(A482),MONTH(A482),1))</f>
        <v/>
      </c>
    </row>
    <row r="483">
      <c r="A483" s="20" t="n"/>
      <c r="B483" s="21" t="n"/>
      <c r="C483" s="21" t="n"/>
      <c r="D483" s="21" t="n"/>
      <c r="E483" s="22" t="n"/>
      <c r="F483" s="23">
        <f>IF(A483="","",DATE(YEAR(A483),MONTH(A483),1))</f>
        <v/>
      </c>
    </row>
    <row r="484">
      <c r="A484" s="20" t="n"/>
      <c r="B484" s="21" t="n"/>
      <c r="C484" s="21" t="n"/>
      <c r="D484" s="21" t="n"/>
      <c r="E484" s="22" t="n"/>
      <c r="F484" s="23">
        <f>IF(A484="","",DATE(YEAR(A484),MONTH(A484),1))</f>
        <v/>
      </c>
    </row>
    <row r="485">
      <c r="A485" s="20" t="n"/>
      <c r="B485" s="21" t="n"/>
      <c r="C485" s="21" t="n"/>
      <c r="D485" s="21" t="n"/>
      <c r="E485" s="22" t="n"/>
      <c r="F485" s="23">
        <f>IF(A485="","",DATE(YEAR(A485),MONTH(A485),1))</f>
        <v/>
      </c>
    </row>
    <row r="486">
      <c r="A486" s="20" t="n"/>
      <c r="B486" s="21" t="n"/>
      <c r="C486" s="21" t="n"/>
      <c r="D486" s="21" t="n"/>
      <c r="E486" s="22" t="n"/>
      <c r="F486" s="23">
        <f>IF(A486="","",DATE(YEAR(A486),MONTH(A486),1))</f>
        <v/>
      </c>
    </row>
    <row r="487">
      <c r="A487" s="20" t="n"/>
      <c r="B487" s="21" t="n"/>
      <c r="C487" s="21" t="n"/>
      <c r="D487" s="21" t="n"/>
      <c r="E487" s="22" t="n"/>
      <c r="F487" s="23">
        <f>IF(A487="","",DATE(YEAR(A487),MONTH(A487),1))</f>
        <v/>
      </c>
    </row>
    <row r="488">
      <c r="A488" s="20" t="n"/>
      <c r="B488" s="21" t="n"/>
      <c r="C488" s="21" t="n"/>
      <c r="D488" s="21" t="n"/>
      <c r="E488" s="22" t="n"/>
      <c r="F488" s="23">
        <f>IF(A488="","",DATE(YEAR(A488),MONTH(A488),1))</f>
        <v/>
      </c>
    </row>
    <row r="489">
      <c r="A489" s="20" t="n"/>
      <c r="B489" s="21" t="n"/>
      <c r="C489" s="21" t="n"/>
      <c r="D489" s="21" t="n"/>
      <c r="E489" s="22" t="n"/>
      <c r="F489" s="23">
        <f>IF(A489="","",DATE(YEAR(A489),MONTH(A489),1))</f>
        <v/>
      </c>
    </row>
    <row r="490">
      <c r="A490" s="20" t="n"/>
      <c r="B490" s="21" t="n"/>
      <c r="C490" s="21" t="n"/>
      <c r="D490" s="21" t="n"/>
      <c r="E490" s="22" t="n"/>
      <c r="F490" s="23">
        <f>IF(A490="","",DATE(YEAR(A490),MONTH(A490),1))</f>
        <v/>
      </c>
    </row>
    <row r="491">
      <c r="A491" s="20" t="n"/>
      <c r="B491" s="21" t="n"/>
      <c r="C491" s="21" t="n"/>
      <c r="D491" s="21" t="n"/>
      <c r="E491" s="22" t="n"/>
      <c r="F491" s="23">
        <f>IF(A491="","",DATE(YEAR(A491),MONTH(A491),1))</f>
        <v/>
      </c>
    </row>
    <row r="492">
      <c r="A492" s="20" t="n"/>
      <c r="B492" s="21" t="n"/>
      <c r="C492" s="21" t="n"/>
      <c r="D492" s="21" t="n"/>
      <c r="E492" s="22" t="n"/>
      <c r="F492" s="23">
        <f>IF(A492="","",DATE(YEAR(A492),MONTH(A492),1))</f>
        <v/>
      </c>
    </row>
    <row r="493">
      <c r="A493" s="20" t="n"/>
      <c r="B493" s="21" t="n"/>
      <c r="C493" s="21" t="n"/>
      <c r="D493" s="21" t="n"/>
      <c r="E493" s="22" t="n"/>
      <c r="F493" s="23">
        <f>IF(A493="","",DATE(YEAR(A493),MONTH(A493),1))</f>
        <v/>
      </c>
    </row>
    <row r="494">
      <c r="A494" s="20" t="n"/>
      <c r="B494" s="21" t="n"/>
      <c r="C494" s="21" t="n"/>
      <c r="D494" s="21" t="n"/>
      <c r="E494" s="22" t="n"/>
      <c r="F494" s="23">
        <f>IF(A494="","",DATE(YEAR(A494),MONTH(A494),1))</f>
        <v/>
      </c>
    </row>
    <row r="495">
      <c r="A495" s="20" t="n"/>
      <c r="B495" s="21" t="n"/>
      <c r="C495" s="21" t="n"/>
      <c r="D495" s="21" t="n"/>
      <c r="E495" s="22" t="n"/>
      <c r="F495" s="23">
        <f>IF(A495="","",DATE(YEAR(A495),MONTH(A495),1))</f>
        <v/>
      </c>
    </row>
    <row r="496">
      <c r="A496" s="20" t="n"/>
      <c r="B496" s="21" t="n"/>
      <c r="C496" s="21" t="n"/>
      <c r="D496" s="21" t="n"/>
      <c r="E496" s="22" t="n"/>
      <c r="F496" s="23">
        <f>IF(A496="","",DATE(YEAR(A496),MONTH(A496),1))</f>
        <v/>
      </c>
    </row>
    <row r="497">
      <c r="A497" s="20" t="n"/>
      <c r="B497" s="21" t="n"/>
      <c r="C497" s="21" t="n"/>
      <c r="D497" s="21" t="n"/>
      <c r="E497" s="22" t="n"/>
      <c r="F497" s="23">
        <f>IF(A497="","",DATE(YEAR(A497),MONTH(A497),1))</f>
        <v/>
      </c>
    </row>
    <row r="498">
      <c r="A498" s="20" t="n"/>
      <c r="B498" s="21" t="n"/>
      <c r="C498" s="21" t="n"/>
      <c r="D498" s="21" t="n"/>
      <c r="E498" s="22" t="n"/>
      <c r="F498" s="23">
        <f>IF(A498="","",DATE(YEAR(A498),MONTH(A498),1))</f>
        <v/>
      </c>
    </row>
    <row r="499">
      <c r="A499" s="20" t="n"/>
      <c r="B499" s="21" t="n"/>
      <c r="C499" s="21" t="n"/>
      <c r="D499" s="21" t="n"/>
      <c r="E499" s="22" t="n"/>
      <c r="F499" s="23">
        <f>IF(A499="","",DATE(YEAR(A499),MONTH(A499),1))</f>
        <v/>
      </c>
    </row>
    <row r="500">
      <c r="A500" s="20" t="n"/>
      <c r="B500" s="21" t="n"/>
      <c r="C500" s="21" t="n"/>
      <c r="D500" s="21" t="n"/>
      <c r="E500" s="22" t="n"/>
      <c r="F500" s="23">
        <f>IF(A500="","",DATE(YEAR(A500),MONTH(A500),1))</f>
        <v/>
      </c>
    </row>
    <row r="501">
      <c r="A501" s="20" t="n"/>
      <c r="B501" s="21" t="n"/>
      <c r="C501" s="21" t="n"/>
      <c r="D501" s="21" t="n"/>
      <c r="E501" s="22" t="n"/>
      <c r="F501" s="23">
        <f>IF(A501="","",DATE(YEAR(A501),MONTH(A501),1))</f>
        <v/>
      </c>
    </row>
    <row r="502">
      <c r="A502" s="20" t="n"/>
      <c r="B502" s="21" t="n"/>
      <c r="C502" s="21" t="n"/>
      <c r="D502" s="21" t="n"/>
      <c r="E502" s="22" t="n"/>
      <c r="F502" s="23">
        <f>IF(A502="","",DATE(YEAR(A502),MONTH(A502),1))</f>
        <v/>
      </c>
    </row>
    <row r="503">
      <c r="A503" s="20" t="n"/>
      <c r="B503" s="21" t="n"/>
      <c r="C503" s="21" t="n"/>
      <c r="D503" s="21" t="n"/>
      <c r="E503" s="22" t="n"/>
      <c r="F503" s="23">
        <f>IF(A503="","",DATE(YEAR(A503),MONTH(A503),1))</f>
        <v/>
      </c>
    </row>
    <row r="504">
      <c r="A504" s="20" t="n"/>
      <c r="B504" s="21" t="n"/>
      <c r="C504" s="21" t="n"/>
      <c r="D504" s="21" t="n"/>
      <c r="E504" s="22" t="n"/>
      <c r="F504" s="23">
        <f>IF(A504="","",DATE(YEAR(A504),MONTH(A504),1))</f>
        <v/>
      </c>
    </row>
    <row r="505">
      <c r="A505" s="20" t="n"/>
      <c r="B505" s="21" t="n"/>
      <c r="C505" s="21" t="n"/>
      <c r="D505" s="21" t="n"/>
      <c r="E505" s="22" t="n"/>
      <c r="F505" s="23">
        <f>IF(A505="","",DATE(YEAR(A505),MONTH(A505),1))</f>
        <v/>
      </c>
    </row>
  </sheetData>
  <dataValidations count="2">
    <dataValidation sqref="B6:B505" showDropDown="0" showInputMessage="0" showErrorMessage="0" allowBlank="1" type="list">
      <formula1>"Ingreso,Gasto"</formula1>
    </dataValidation>
    <dataValidation sqref="D6:D505" showDropDown="0" showInputMessage="0" showErrorMessage="0" allowBlank="1" type="list">
      <formula1>=Listas!$A$2:$A$10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8" customWidth="1" min="3" max="3"/>
    <col width="18" customWidth="1" min="4" max="4"/>
    <col width="24" customWidth="1" min="5" max="5"/>
    <col width="24" customWidth="1" min="6" max="6"/>
  </cols>
  <sheetData>
    <row r="1">
      <c r="A1" s="1" t="inlineStr">
        <is>
          <t>Resumen del mes</t>
        </is>
      </c>
    </row>
    <row r="3">
      <c r="A3" s="16" t="inlineStr">
        <is>
          <t>Mes a revisar (escribe cualquier fecha de ese mes)</t>
        </is>
      </c>
      <c r="B3" s="24" t="n">
        <v>46296</v>
      </c>
    </row>
    <row r="4">
      <c r="A4" s="7" t="inlineStr">
        <is>
          <t>Mes</t>
        </is>
      </c>
      <c r="B4" s="25">
        <f>DATE(YEAR(B3),MONTH(B3),1)</f>
        <v/>
      </c>
    </row>
    <row r="5">
      <c r="A5" s="7" t="inlineStr">
        <is>
          <t>Meses transcurridos desde el inicio</t>
        </is>
      </c>
      <c r="B5" s="26">
        <f>MAX(0,(YEAR(B4)-YEAR(Plan!B8))*12+MONTH(B4)-MONTH(Plan!B8)+1)</f>
        <v/>
      </c>
    </row>
    <row r="7">
      <c r="A7" s="5" t="inlineStr">
        <is>
          <t>INGRESOS</t>
        </is>
      </c>
      <c r="B7" s="6" t="n"/>
      <c r="C7" s="6" t="n"/>
      <c r="D7" s="6" t="n"/>
    </row>
    <row r="8">
      <c r="A8" s="9" t="inlineStr">
        <is>
          <t>Fuente</t>
        </is>
      </c>
      <c r="B8" s="9" t="inlineStr">
        <is>
          <t>Esperado</t>
        </is>
      </c>
      <c r="C8" s="9" t="inlineStr">
        <is>
          <t>Real</t>
        </is>
      </c>
      <c r="D8" s="9" t="inlineStr">
        <is>
          <t>Diferencia</t>
        </is>
      </c>
    </row>
    <row r="9">
      <c r="A9" s="7" t="inlineStr">
        <is>
          <t>Club Tiburones</t>
        </is>
      </c>
      <c r="B9" s="27">
        <f>Plan!B5</f>
        <v/>
      </c>
      <c r="C9" s="27">
        <f>SUMIFS(Movimientos!$E$6:$E$505,Movimientos!$B$6:$B$505,"Ingreso",Movimientos!$D$6:$D$505,Listas!$A$2,Movimientos!$F$6:$F$505,$B$4)</f>
        <v/>
      </c>
      <c r="D9" s="12">
        <f>C9-B9</f>
        <v/>
      </c>
    </row>
    <row r="10">
      <c r="A10" s="7" t="inlineStr">
        <is>
          <t>Salario WEIT</t>
        </is>
      </c>
      <c r="B10" s="27">
        <f>Plan!B6</f>
        <v/>
      </c>
      <c r="C10" s="27">
        <f>SUMIFS(Movimientos!$E$6:$E$505,Movimientos!$B$6:$B$505,"Ingreso",Movimientos!$D$6:$D$505,Listas!$A$3,Movimientos!$F$6:$F$505,$B$4)</f>
        <v/>
      </c>
      <c r="D10" s="12">
        <f>C10-B10</f>
        <v/>
      </c>
    </row>
    <row r="11">
      <c r="A11" s="13" t="inlineStr">
        <is>
          <t>Total</t>
        </is>
      </c>
      <c r="B11" s="14">
        <f>SUM(B9:B10)</f>
        <v/>
      </c>
      <c r="C11" s="14">
        <f>SUM(C9:C10)</f>
        <v/>
      </c>
      <c r="D11" s="14">
        <f>SUM(D9:D10)</f>
        <v/>
      </c>
    </row>
    <row r="13">
      <c r="A13" s="16" t="inlineStr">
        <is>
          <t>Total gastado en el mes</t>
        </is>
      </c>
      <c r="B13" s="27">
        <f>SUMIFS(Movimientos!$E$6:$E$505,Movimientos!$B$6:$B$505,"Gasto",Movimientos!$F$6:$F$505,$B$4)</f>
        <v/>
      </c>
    </row>
    <row r="14">
      <c r="A14" s="16" t="inlineStr">
        <is>
          <t>Sobrante del mes (ingresos reales − gastos)</t>
        </is>
      </c>
      <c r="B14" s="18">
        <f>C11-B13</f>
        <v/>
      </c>
    </row>
    <row r="16">
      <c r="A16" s="5" t="inlineStr">
        <is>
          <t>BOLSILLOS</t>
        </is>
      </c>
      <c r="B16" s="6" t="n"/>
      <c r="C16" s="6" t="n"/>
      <c r="D16" s="6" t="n"/>
      <c r="E16" s="6" t="n"/>
      <c r="F16" s="6" t="n"/>
    </row>
    <row r="17" ht="42" customHeight="1">
      <c r="A17" s="9" t="inlineStr">
        <is>
          <t>Bolsillo</t>
        </is>
      </c>
      <c r="B17" s="9" t="inlineStr">
        <is>
          <t>Plan del mes</t>
        </is>
      </c>
      <c r="C17" s="9" t="inlineStr">
        <is>
          <t>Gastado</t>
        </is>
      </c>
      <c r="D17" s="9" t="inlineStr">
        <is>
          <t>Queda del mes</t>
        </is>
      </c>
      <c r="E17" s="9" t="inlineStr">
        <is>
          <t>Saldo acumulado (lo que tienes guardado)</t>
        </is>
      </c>
      <c r="F17" s="9" t="inlineStr">
        <is>
          <t>Estado</t>
        </is>
      </c>
    </row>
    <row r="18">
      <c r="A18" s="28">
        <f>Plan!F6</f>
        <v/>
      </c>
      <c r="B18" s="27">
        <f>Plan!H6</f>
        <v/>
      </c>
      <c r="C18" s="27">
        <f>SUMIFS(Movimientos!$E$6:$E$505,Movimientos!$B$6:$B$505,"Gasto",Movimientos!$D$6:$D$505,$A18,Movimientos!$F$6:$F$505,$B$4)</f>
        <v/>
      </c>
      <c r="D18" s="12">
        <f>B18-C18</f>
        <v/>
      </c>
      <c r="E18" s="12">
        <f>Plan!I6+Plan!H6*$B$5-SUMIFS(Movimientos!$E$6:$E$505,Movimientos!$B$6:$B$505,"Gasto",Movimientos!$D$6:$D$505,$A18,Movimientos!$F$6:$F$505,"&lt;="&amp;$B$4,Movimientos!$F$6:$F$505,"&gt;="&amp;Plan!$B$8)</f>
        <v/>
      </c>
      <c r="F18" s="7">
        <f>IF(E18&lt;0,"Saldo negativo",IF(D18&lt;0,"Gastaste más del plan","OK"))</f>
        <v/>
      </c>
    </row>
    <row r="19">
      <c r="A19" s="28">
        <f>Plan!F7</f>
        <v/>
      </c>
      <c r="B19" s="27">
        <f>Plan!H7</f>
        <v/>
      </c>
      <c r="C19" s="27">
        <f>SUMIFS(Movimientos!$E$6:$E$505,Movimientos!$B$6:$B$505,"Gasto",Movimientos!$D$6:$D$505,$A19,Movimientos!$F$6:$F$505,$B$4)</f>
        <v/>
      </c>
      <c r="D19" s="12">
        <f>B19-C19</f>
        <v/>
      </c>
      <c r="E19" s="12">
        <f>Plan!I7+Plan!H7*$B$5-SUMIFS(Movimientos!$E$6:$E$505,Movimientos!$B$6:$B$505,"Gasto",Movimientos!$D$6:$D$505,$A19,Movimientos!$F$6:$F$505,"&lt;="&amp;$B$4,Movimientos!$F$6:$F$505,"&gt;="&amp;Plan!$B$8)</f>
        <v/>
      </c>
      <c r="F19" s="7">
        <f>IF(E19&lt;0,"Saldo negativo",IF(D19&lt;0,"Gastaste más del plan","OK"))</f>
        <v/>
      </c>
    </row>
    <row r="20">
      <c r="A20" s="28">
        <f>Plan!F8</f>
        <v/>
      </c>
      <c r="B20" s="27">
        <f>Plan!H8</f>
        <v/>
      </c>
      <c r="C20" s="27">
        <f>SUMIFS(Movimientos!$E$6:$E$505,Movimientos!$B$6:$B$505,"Gasto",Movimientos!$D$6:$D$505,$A20,Movimientos!$F$6:$F$505,$B$4)</f>
        <v/>
      </c>
      <c r="D20" s="12">
        <f>B20-C20</f>
        <v/>
      </c>
      <c r="E20" s="12">
        <f>Plan!I8+Plan!H8*$B$5-SUMIFS(Movimientos!$E$6:$E$505,Movimientos!$B$6:$B$505,"Gasto",Movimientos!$D$6:$D$505,$A20,Movimientos!$F$6:$F$505,"&lt;="&amp;$B$4,Movimientos!$F$6:$F$505,"&gt;="&amp;Plan!$B$8)</f>
        <v/>
      </c>
      <c r="F20" s="7">
        <f>IF(E20&lt;0,"Saldo negativo",IF(D20&lt;0,"Gastaste más del plan","OK"))</f>
        <v/>
      </c>
    </row>
    <row r="21">
      <c r="A21" s="28">
        <f>Plan!F9</f>
        <v/>
      </c>
      <c r="B21" s="27">
        <f>Plan!H9</f>
        <v/>
      </c>
      <c r="C21" s="27">
        <f>SUMIFS(Movimientos!$E$6:$E$505,Movimientos!$B$6:$B$505,"Gasto",Movimientos!$D$6:$D$505,$A21,Movimientos!$F$6:$F$505,$B$4)</f>
        <v/>
      </c>
      <c r="D21" s="12">
        <f>B21-C21</f>
        <v/>
      </c>
      <c r="E21" s="12">
        <f>Plan!I9+Plan!H9*$B$5-SUMIFS(Movimientos!$E$6:$E$505,Movimientos!$B$6:$B$505,"Gasto",Movimientos!$D$6:$D$505,$A21,Movimientos!$F$6:$F$505,"&lt;="&amp;$B$4,Movimientos!$F$6:$F$505,"&gt;="&amp;Plan!$B$8)</f>
        <v/>
      </c>
      <c r="F21" s="7">
        <f>IF(E21&lt;0,"Saldo negativo",IF(D21&lt;0,"Gastaste más del plan","OK"))</f>
        <v/>
      </c>
    </row>
    <row r="22">
      <c r="A22" s="28">
        <f>Plan!F10</f>
        <v/>
      </c>
      <c r="B22" s="27">
        <f>Plan!H10</f>
        <v/>
      </c>
      <c r="C22" s="27">
        <f>SUMIFS(Movimientos!$E$6:$E$505,Movimientos!$B$6:$B$505,"Gasto",Movimientos!$D$6:$D$505,$A22,Movimientos!$F$6:$F$505,$B$4)</f>
        <v/>
      </c>
      <c r="D22" s="12">
        <f>B22-C22</f>
        <v/>
      </c>
      <c r="E22" s="12">
        <f>Plan!I10+Plan!H10*$B$5-SUMIFS(Movimientos!$E$6:$E$505,Movimientos!$B$6:$B$505,"Gasto",Movimientos!$D$6:$D$505,$A22,Movimientos!$F$6:$F$505,"&lt;="&amp;$B$4,Movimientos!$F$6:$F$505,"&gt;="&amp;Plan!$B$8)</f>
        <v/>
      </c>
      <c r="F22" s="7">
        <f>IF(E22&lt;0,"Saldo negativo",IF(D22&lt;0,"Gastaste más del plan","OK"))</f>
        <v/>
      </c>
    </row>
    <row r="23">
      <c r="A23" s="28">
        <f>Plan!F11</f>
        <v/>
      </c>
      <c r="B23" s="27">
        <f>Plan!H11</f>
        <v/>
      </c>
      <c r="C23" s="27">
        <f>SUMIFS(Movimientos!$E$6:$E$505,Movimientos!$B$6:$B$505,"Gasto",Movimientos!$D$6:$D$505,$A23,Movimientos!$F$6:$F$505,$B$4)</f>
        <v/>
      </c>
      <c r="D23" s="12">
        <f>B23-C23</f>
        <v/>
      </c>
      <c r="E23" s="12">
        <f>Plan!I11+Plan!H11*$B$5-SUMIFS(Movimientos!$E$6:$E$505,Movimientos!$B$6:$B$505,"Gasto",Movimientos!$D$6:$D$505,$A23,Movimientos!$F$6:$F$505,"&lt;="&amp;$B$4,Movimientos!$F$6:$F$505,"&gt;="&amp;Plan!$B$8)</f>
        <v/>
      </c>
      <c r="F23" s="7">
        <f>IF(E23&lt;0,"Saldo negativo",IF(D23&lt;0,"Gastaste más del plan","OK"))</f>
        <v/>
      </c>
    </row>
    <row r="24">
      <c r="A24" s="28">
        <f>Plan!F12</f>
        <v/>
      </c>
      <c r="B24" s="12">
        <f>IF($C$11&gt;0,$C$11,$B$11)-SUM(B18:B23)</f>
        <v/>
      </c>
      <c r="C24" s="27">
        <f>SUMIFS(Movimientos!$E$6:$E$505,Movimientos!$B$6:$B$505,"Gasto",Movimientos!$D$6:$D$505,$A24,Movimientos!$F$6:$F$505,$B$4)</f>
        <v/>
      </c>
      <c r="D24" s="12">
        <f>B24-C24</f>
        <v/>
      </c>
      <c r="E24" s="12">
        <f>Plan!I12+SUMIFS(Movimientos!$E$6:$E$505,Movimientos!$B$6:$B$505,"Ingreso",Movimientos!$F$6:$F$505,"&lt;="&amp;$B$4,Movimientos!$F$6:$F$505,"&gt;="&amp;Plan!$B$8)-SUM(Plan!$H$6:$H$11)*$B$5-SUMIFS(Movimientos!$E$6:$E$505,Movimientos!$B$6:$B$505,"Gasto",Movimientos!$D$6:$D$505,$A24,Movimientos!$F$6:$F$505,"&lt;="&amp;$B$4,Movimientos!$F$6:$F$505,"&gt;="&amp;Plan!$B$8)</f>
        <v/>
      </c>
      <c r="F24" s="7">
        <f>IF(E24&lt;0,"Saldo negativo",IF(D24&lt;0,"Gastaste más del plan","OK"))</f>
        <v/>
      </c>
    </row>
    <row r="25">
      <c r="A25" s="13" t="inlineStr">
        <is>
          <t>Total</t>
        </is>
      </c>
      <c r="B25" s="14">
        <f>SUM(B18:B24)</f>
        <v/>
      </c>
      <c r="C25" s="14">
        <f>SUM(C18:C24)</f>
        <v/>
      </c>
      <c r="D25" s="14">
        <f>SUM(D18:D24)</f>
        <v/>
      </c>
      <c r="E25" s="14">
        <f>SUM(E18:E24)</f>
        <v/>
      </c>
      <c r="F25" s="17" t="n"/>
    </row>
    <row r="26">
      <c r="A26" s="4" t="inlineStr">
        <is>
          <t>Colchón: su 'Plan del mes' es lo que realmente sobró (ingreso real − los otros bolsillos). No cuentes con dinero de WEIT aparte de tu salario.</t>
        </is>
      </c>
    </row>
    <row r="28">
      <c r="A28" s="16" t="inlineStr">
        <is>
          <t>Meses de gastos que cubre el último bolsillo (colchón)</t>
        </is>
      </c>
      <c r="B28" s="29">
        <f>IF(SUM(B18:B23)=0,0,E24/SUM(B18:B23))</f>
        <v/>
      </c>
    </row>
  </sheetData>
  <conditionalFormatting sqref="F18:F24">
    <cfRule type="expression" priority="1" dxfId="0">
      <formula>F18&lt;&gt;"OK"</formula>
    </cfRule>
    <cfRule type="expression" priority="2" dxfId="1">
      <formula>F18="OK"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</cols>
  <sheetData>
    <row r="1">
      <c r="A1" s="1" t="inlineStr">
        <is>
          <t>Vista del año (12 meses desde el mes de inicio)</t>
        </is>
      </c>
    </row>
    <row r="4" ht="30" customHeight="1">
      <c r="A4" s="9" t="inlineStr">
        <is>
          <t>Mes</t>
        </is>
      </c>
      <c r="B4" s="9" t="inlineStr">
        <is>
          <t>Ingreso Club Tiburones</t>
        </is>
      </c>
      <c r="C4" s="9" t="inlineStr">
        <is>
          <t>Ingreso Salario WEIT</t>
        </is>
      </c>
      <c r="D4" s="9" t="inlineStr">
        <is>
          <t>Total ingresos</t>
        </is>
      </c>
      <c r="E4" s="9" t="inlineStr">
        <is>
          <t>Total gastos</t>
        </is>
      </c>
      <c r="F4" s="9" t="inlineStr">
        <is>
          <t>Sobrante del mes</t>
        </is>
      </c>
      <c r="G4" s="9" t="inlineStr">
        <is>
          <t>Sobrante acumulado</t>
        </is>
      </c>
    </row>
    <row r="5">
      <c r="A5" s="30">
        <f>Plan!B8</f>
        <v/>
      </c>
      <c r="B5" s="27">
        <f>SUMIFS(Movimientos!$E$6:$E$505,Movimientos!$B$6:$B$505,"Ingreso",Movimientos!$D$6:$D$505,Listas!$A$2,Movimientos!$F$6:$F$505,$A5)</f>
        <v/>
      </c>
      <c r="C5" s="27">
        <f>SUMIFS(Movimientos!$E$6:$E$505,Movimientos!$B$6:$B$505,"Ingreso",Movimientos!$D$6:$D$505,Listas!$A$3,Movimientos!$F$6:$F$505,$A5)</f>
        <v/>
      </c>
      <c r="D5" s="12">
        <f>SUM(B5:C5)</f>
        <v/>
      </c>
      <c r="E5" s="27">
        <f>SUMIFS(Movimientos!$E$6:$E$505,Movimientos!$B$6:$B$505,"Gasto",Movimientos!$F$6:$F$505,$A5)</f>
        <v/>
      </c>
      <c r="F5" s="12">
        <f>D5-E5</f>
        <v/>
      </c>
      <c r="G5" s="12">
        <f>SUM($F$5:F5)</f>
        <v/>
      </c>
    </row>
    <row r="6">
      <c r="A6" s="31">
        <f>EDATE(A5,1)</f>
        <v/>
      </c>
      <c r="B6" s="27">
        <f>SUMIFS(Movimientos!$E$6:$E$505,Movimientos!$B$6:$B$505,"Ingreso",Movimientos!$D$6:$D$505,Listas!$A$2,Movimientos!$F$6:$F$505,$A6)</f>
        <v/>
      </c>
      <c r="C6" s="27">
        <f>SUMIFS(Movimientos!$E$6:$E$505,Movimientos!$B$6:$B$505,"Ingreso",Movimientos!$D$6:$D$505,Listas!$A$3,Movimientos!$F$6:$F$505,$A6)</f>
        <v/>
      </c>
      <c r="D6" s="12">
        <f>SUM(B6:C6)</f>
        <v/>
      </c>
      <c r="E6" s="27">
        <f>SUMIFS(Movimientos!$E$6:$E$505,Movimientos!$B$6:$B$505,"Gasto",Movimientos!$F$6:$F$505,$A6)</f>
        <v/>
      </c>
      <c r="F6" s="12">
        <f>D6-E6</f>
        <v/>
      </c>
      <c r="G6" s="12">
        <f>SUM($F$5:F6)</f>
        <v/>
      </c>
    </row>
    <row r="7">
      <c r="A7" s="31">
        <f>EDATE(A6,1)</f>
        <v/>
      </c>
      <c r="B7" s="27">
        <f>SUMIFS(Movimientos!$E$6:$E$505,Movimientos!$B$6:$B$505,"Ingreso",Movimientos!$D$6:$D$505,Listas!$A$2,Movimientos!$F$6:$F$505,$A7)</f>
        <v/>
      </c>
      <c r="C7" s="27">
        <f>SUMIFS(Movimientos!$E$6:$E$505,Movimientos!$B$6:$B$505,"Ingreso",Movimientos!$D$6:$D$505,Listas!$A$3,Movimientos!$F$6:$F$505,$A7)</f>
        <v/>
      </c>
      <c r="D7" s="12">
        <f>SUM(B7:C7)</f>
        <v/>
      </c>
      <c r="E7" s="27">
        <f>SUMIFS(Movimientos!$E$6:$E$505,Movimientos!$B$6:$B$505,"Gasto",Movimientos!$F$6:$F$505,$A7)</f>
        <v/>
      </c>
      <c r="F7" s="12">
        <f>D7-E7</f>
        <v/>
      </c>
      <c r="G7" s="12">
        <f>SUM($F$5:F7)</f>
        <v/>
      </c>
    </row>
    <row r="8">
      <c r="A8" s="31">
        <f>EDATE(A7,1)</f>
        <v/>
      </c>
      <c r="B8" s="27">
        <f>SUMIFS(Movimientos!$E$6:$E$505,Movimientos!$B$6:$B$505,"Ingreso",Movimientos!$D$6:$D$505,Listas!$A$2,Movimientos!$F$6:$F$505,$A8)</f>
        <v/>
      </c>
      <c r="C8" s="27">
        <f>SUMIFS(Movimientos!$E$6:$E$505,Movimientos!$B$6:$B$505,"Ingreso",Movimientos!$D$6:$D$505,Listas!$A$3,Movimientos!$F$6:$F$505,$A8)</f>
        <v/>
      </c>
      <c r="D8" s="12">
        <f>SUM(B8:C8)</f>
        <v/>
      </c>
      <c r="E8" s="27">
        <f>SUMIFS(Movimientos!$E$6:$E$505,Movimientos!$B$6:$B$505,"Gasto",Movimientos!$F$6:$F$505,$A8)</f>
        <v/>
      </c>
      <c r="F8" s="12">
        <f>D8-E8</f>
        <v/>
      </c>
      <c r="G8" s="12">
        <f>SUM($F$5:F8)</f>
        <v/>
      </c>
    </row>
    <row r="9">
      <c r="A9" s="31">
        <f>EDATE(A8,1)</f>
        <v/>
      </c>
      <c r="B9" s="27">
        <f>SUMIFS(Movimientos!$E$6:$E$505,Movimientos!$B$6:$B$505,"Ingreso",Movimientos!$D$6:$D$505,Listas!$A$2,Movimientos!$F$6:$F$505,$A9)</f>
        <v/>
      </c>
      <c r="C9" s="27">
        <f>SUMIFS(Movimientos!$E$6:$E$505,Movimientos!$B$6:$B$505,"Ingreso",Movimientos!$D$6:$D$505,Listas!$A$3,Movimientos!$F$6:$F$505,$A9)</f>
        <v/>
      </c>
      <c r="D9" s="12">
        <f>SUM(B9:C9)</f>
        <v/>
      </c>
      <c r="E9" s="27">
        <f>SUMIFS(Movimientos!$E$6:$E$505,Movimientos!$B$6:$B$505,"Gasto",Movimientos!$F$6:$F$505,$A9)</f>
        <v/>
      </c>
      <c r="F9" s="12">
        <f>D9-E9</f>
        <v/>
      </c>
      <c r="G9" s="12">
        <f>SUM($F$5:F9)</f>
        <v/>
      </c>
    </row>
    <row r="10">
      <c r="A10" s="31">
        <f>EDATE(A9,1)</f>
        <v/>
      </c>
      <c r="B10" s="27">
        <f>SUMIFS(Movimientos!$E$6:$E$505,Movimientos!$B$6:$B$505,"Ingreso",Movimientos!$D$6:$D$505,Listas!$A$2,Movimientos!$F$6:$F$505,$A10)</f>
        <v/>
      </c>
      <c r="C10" s="27">
        <f>SUMIFS(Movimientos!$E$6:$E$505,Movimientos!$B$6:$B$505,"Ingreso",Movimientos!$D$6:$D$505,Listas!$A$3,Movimientos!$F$6:$F$505,$A10)</f>
        <v/>
      </c>
      <c r="D10" s="12">
        <f>SUM(B10:C10)</f>
        <v/>
      </c>
      <c r="E10" s="27">
        <f>SUMIFS(Movimientos!$E$6:$E$505,Movimientos!$B$6:$B$505,"Gasto",Movimientos!$F$6:$F$505,$A10)</f>
        <v/>
      </c>
      <c r="F10" s="12">
        <f>D10-E10</f>
        <v/>
      </c>
      <c r="G10" s="12">
        <f>SUM($F$5:F10)</f>
        <v/>
      </c>
    </row>
    <row r="11">
      <c r="A11" s="31">
        <f>EDATE(A10,1)</f>
        <v/>
      </c>
      <c r="B11" s="27">
        <f>SUMIFS(Movimientos!$E$6:$E$505,Movimientos!$B$6:$B$505,"Ingreso",Movimientos!$D$6:$D$505,Listas!$A$2,Movimientos!$F$6:$F$505,$A11)</f>
        <v/>
      </c>
      <c r="C11" s="27">
        <f>SUMIFS(Movimientos!$E$6:$E$505,Movimientos!$B$6:$B$505,"Ingreso",Movimientos!$D$6:$D$505,Listas!$A$3,Movimientos!$F$6:$F$505,$A11)</f>
        <v/>
      </c>
      <c r="D11" s="12">
        <f>SUM(B11:C11)</f>
        <v/>
      </c>
      <c r="E11" s="27">
        <f>SUMIFS(Movimientos!$E$6:$E$505,Movimientos!$B$6:$B$505,"Gasto",Movimientos!$F$6:$F$505,$A11)</f>
        <v/>
      </c>
      <c r="F11" s="12">
        <f>D11-E11</f>
        <v/>
      </c>
      <c r="G11" s="12">
        <f>SUM($F$5:F11)</f>
        <v/>
      </c>
    </row>
    <row r="12">
      <c r="A12" s="31">
        <f>EDATE(A11,1)</f>
        <v/>
      </c>
      <c r="B12" s="27">
        <f>SUMIFS(Movimientos!$E$6:$E$505,Movimientos!$B$6:$B$505,"Ingreso",Movimientos!$D$6:$D$505,Listas!$A$2,Movimientos!$F$6:$F$505,$A12)</f>
        <v/>
      </c>
      <c r="C12" s="27">
        <f>SUMIFS(Movimientos!$E$6:$E$505,Movimientos!$B$6:$B$505,"Ingreso",Movimientos!$D$6:$D$505,Listas!$A$3,Movimientos!$F$6:$F$505,$A12)</f>
        <v/>
      </c>
      <c r="D12" s="12">
        <f>SUM(B12:C12)</f>
        <v/>
      </c>
      <c r="E12" s="27">
        <f>SUMIFS(Movimientos!$E$6:$E$505,Movimientos!$B$6:$B$505,"Gasto",Movimientos!$F$6:$F$505,$A12)</f>
        <v/>
      </c>
      <c r="F12" s="12">
        <f>D12-E12</f>
        <v/>
      </c>
      <c r="G12" s="12">
        <f>SUM($F$5:F12)</f>
        <v/>
      </c>
    </row>
    <row r="13">
      <c r="A13" s="31">
        <f>EDATE(A12,1)</f>
        <v/>
      </c>
      <c r="B13" s="27">
        <f>SUMIFS(Movimientos!$E$6:$E$505,Movimientos!$B$6:$B$505,"Ingreso",Movimientos!$D$6:$D$505,Listas!$A$2,Movimientos!$F$6:$F$505,$A13)</f>
        <v/>
      </c>
      <c r="C13" s="27">
        <f>SUMIFS(Movimientos!$E$6:$E$505,Movimientos!$B$6:$B$505,"Ingreso",Movimientos!$D$6:$D$505,Listas!$A$3,Movimientos!$F$6:$F$505,$A13)</f>
        <v/>
      </c>
      <c r="D13" s="12">
        <f>SUM(B13:C13)</f>
        <v/>
      </c>
      <c r="E13" s="27">
        <f>SUMIFS(Movimientos!$E$6:$E$505,Movimientos!$B$6:$B$505,"Gasto",Movimientos!$F$6:$F$505,$A13)</f>
        <v/>
      </c>
      <c r="F13" s="12">
        <f>D13-E13</f>
        <v/>
      </c>
      <c r="G13" s="12">
        <f>SUM($F$5:F13)</f>
        <v/>
      </c>
    </row>
    <row r="14">
      <c r="A14" s="31">
        <f>EDATE(A13,1)</f>
        <v/>
      </c>
      <c r="B14" s="27">
        <f>SUMIFS(Movimientos!$E$6:$E$505,Movimientos!$B$6:$B$505,"Ingreso",Movimientos!$D$6:$D$505,Listas!$A$2,Movimientos!$F$6:$F$505,$A14)</f>
        <v/>
      </c>
      <c r="C14" s="27">
        <f>SUMIFS(Movimientos!$E$6:$E$505,Movimientos!$B$6:$B$505,"Ingreso",Movimientos!$D$6:$D$505,Listas!$A$3,Movimientos!$F$6:$F$505,$A14)</f>
        <v/>
      </c>
      <c r="D14" s="12">
        <f>SUM(B14:C14)</f>
        <v/>
      </c>
      <c r="E14" s="27">
        <f>SUMIFS(Movimientos!$E$6:$E$505,Movimientos!$B$6:$B$505,"Gasto",Movimientos!$F$6:$F$505,$A14)</f>
        <v/>
      </c>
      <c r="F14" s="12">
        <f>D14-E14</f>
        <v/>
      </c>
      <c r="G14" s="12">
        <f>SUM($F$5:F14)</f>
        <v/>
      </c>
    </row>
    <row r="15">
      <c r="A15" s="31">
        <f>EDATE(A14,1)</f>
        <v/>
      </c>
      <c r="B15" s="27">
        <f>SUMIFS(Movimientos!$E$6:$E$505,Movimientos!$B$6:$B$505,"Ingreso",Movimientos!$D$6:$D$505,Listas!$A$2,Movimientos!$F$6:$F$505,$A15)</f>
        <v/>
      </c>
      <c r="C15" s="27">
        <f>SUMIFS(Movimientos!$E$6:$E$505,Movimientos!$B$6:$B$505,"Ingreso",Movimientos!$D$6:$D$505,Listas!$A$3,Movimientos!$F$6:$F$505,$A15)</f>
        <v/>
      </c>
      <c r="D15" s="12">
        <f>SUM(B15:C15)</f>
        <v/>
      </c>
      <c r="E15" s="27">
        <f>SUMIFS(Movimientos!$E$6:$E$505,Movimientos!$B$6:$B$505,"Gasto",Movimientos!$F$6:$F$505,$A15)</f>
        <v/>
      </c>
      <c r="F15" s="12">
        <f>D15-E15</f>
        <v/>
      </c>
      <c r="G15" s="12">
        <f>SUM($F$5:F15)</f>
        <v/>
      </c>
    </row>
    <row r="16">
      <c r="A16" s="31">
        <f>EDATE(A15,1)</f>
        <v/>
      </c>
      <c r="B16" s="27">
        <f>SUMIFS(Movimientos!$E$6:$E$505,Movimientos!$B$6:$B$505,"Ingreso",Movimientos!$D$6:$D$505,Listas!$A$2,Movimientos!$F$6:$F$505,$A16)</f>
        <v/>
      </c>
      <c r="C16" s="27">
        <f>SUMIFS(Movimientos!$E$6:$E$505,Movimientos!$B$6:$B$505,"Ingreso",Movimientos!$D$6:$D$505,Listas!$A$3,Movimientos!$F$6:$F$505,$A16)</f>
        <v/>
      </c>
      <c r="D16" s="12">
        <f>SUM(B16:C16)</f>
        <v/>
      </c>
      <c r="E16" s="27">
        <f>SUMIFS(Movimientos!$E$6:$E$505,Movimientos!$B$6:$B$505,"Gasto",Movimientos!$F$6:$F$505,$A16)</f>
        <v/>
      </c>
      <c r="F16" s="12">
        <f>D16-E16</f>
        <v/>
      </c>
      <c r="G16" s="12">
        <f>SUM($F$5:F16)</f>
        <v/>
      </c>
    </row>
    <row r="17">
      <c r="A17" s="13" t="inlineStr">
        <is>
          <t>Total</t>
        </is>
      </c>
      <c r="B17" s="14">
        <f>SUM(B5:B16)</f>
        <v/>
      </c>
      <c r="C17" s="14">
        <f>SUM(C5:C16)</f>
        <v/>
      </c>
      <c r="D17" s="14">
        <f>SUM(D5:D16)</f>
        <v/>
      </c>
      <c r="E17" s="14">
        <f>SUM(E5:E16)</f>
        <v/>
      </c>
      <c r="F17" s="14">
        <f>SUM(F5:F16)</f>
        <v/>
      </c>
      <c r="G17" s="17" t="n"/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Lista para el desplegable de Movimientos (no editar)</t>
        </is>
      </c>
    </row>
    <row r="2">
      <c r="A2" t="inlineStr">
        <is>
          <t>Club Tiburones</t>
        </is>
      </c>
    </row>
    <row r="3">
      <c r="A3" t="inlineStr">
        <is>
          <t>Salario WEIT</t>
        </is>
      </c>
    </row>
    <row r="4">
      <c r="A4">
        <f>Plan!F6</f>
        <v/>
      </c>
    </row>
    <row r="5">
      <c r="A5">
        <f>Plan!F7</f>
        <v/>
      </c>
    </row>
    <row r="6">
      <c r="A6">
        <f>Plan!F8</f>
        <v/>
      </c>
    </row>
    <row r="7">
      <c r="A7">
        <f>Plan!F9</f>
        <v/>
      </c>
    </row>
    <row r="8">
      <c r="A8">
        <f>Plan!F10</f>
        <v/>
      </c>
    </row>
    <row r="9">
      <c r="A9">
        <f>Plan!F11</f>
        <v/>
      </c>
    </row>
    <row r="10">
      <c r="A10">
        <f>Plan!F12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2026-10-01T03:36:58Z</dcterms:created>
  <dcterms:modified xsi:type="dcterms:W3CDTF">2026-10-01T03:36:58Z</dcterms:modified>
</cp:coreProperties>
</file>